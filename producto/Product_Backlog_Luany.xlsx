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yan\Downloads\"/>
    </mc:Choice>
  </mc:AlternateContent>
  <xr:revisionPtr revIDLastSave="0" documentId="13_ncr:1_{C53425BD-4700-4F30-A5F5-CAB34F47F3D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Product Backlog" sheetId="1" r:id="rId1"/>
    <sheet name="Req. Funcionales" sheetId="2" r:id="rId2"/>
    <sheet name="Req. No Funcionales" sheetId="3" r:id="rId3"/>
    <sheet name="Roles y Permisos" sheetId="4" r:id="rId4"/>
    <sheet name="Campos de las Tabla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3" i="4" l="1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F22" i="2"/>
  <c r="E22" i="2"/>
  <c r="B22" i="2"/>
  <c r="F21" i="2"/>
  <c r="E21" i="2"/>
  <c r="B21" i="2"/>
  <c r="F20" i="2"/>
  <c r="E20" i="2"/>
  <c r="B20" i="2"/>
  <c r="F19" i="2"/>
  <c r="E19" i="2"/>
  <c r="B19" i="2"/>
  <c r="F18" i="2"/>
  <c r="E18" i="2"/>
  <c r="B18" i="2"/>
  <c r="F17" i="2"/>
  <c r="E17" i="2"/>
  <c r="B17" i="2"/>
  <c r="F16" i="2"/>
  <c r="E16" i="2"/>
  <c r="B16" i="2"/>
  <c r="F15" i="2"/>
  <c r="E15" i="2"/>
  <c r="B15" i="2"/>
  <c r="F14" i="2"/>
  <c r="E14" i="2"/>
  <c r="B14" i="2"/>
  <c r="F13" i="2"/>
  <c r="E13" i="2"/>
  <c r="B13" i="2"/>
  <c r="F12" i="2"/>
  <c r="E12" i="2"/>
  <c r="B12" i="2"/>
  <c r="F11" i="2"/>
  <c r="E11" i="2"/>
  <c r="B11" i="2"/>
  <c r="F10" i="2"/>
  <c r="E10" i="2"/>
  <c r="B10" i="2"/>
  <c r="F9" i="2"/>
  <c r="E9" i="2"/>
  <c r="B9" i="2"/>
  <c r="F8" i="2"/>
  <c r="E8" i="2"/>
  <c r="B8" i="2"/>
  <c r="F7" i="2"/>
  <c r="E7" i="2"/>
  <c r="B7" i="2"/>
  <c r="F6" i="2"/>
  <c r="E6" i="2"/>
  <c r="B6" i="2"/>
  <c r="F5" i="2"/>
  <c r="E5" i="2"/>
  <c r="B5" i="2"/>
  <c r="H24" i="1"/>
</calcChain>
</file>

<file path=xl/sharedStrings.xml><?xml version="1.0" encoding="utf-8"?>
<sst xmlns="http://schemas.openxmlformats.org/spreadsheetml/2006/main" count="846" uniqueCount="391">
  <si>
    <t>PRODUCT BACKLOG – Sistema de gestión de inventarios – Empresa Luany</t>
  </si>
  <si>
    <t>Product Owner: Dayana De la Cruz Pachas   |   Ordenado de mayor a menor prioridad. Los puntos de historia son una estimación inicial (escala Fibonacci) y se ajustan con el equipo en el Sprint Planning.</t>
  </si>
  <si>
    <t>Prioridad #</t>
  </si>
  <si>
    <t>ID</t>
  </si>
  <si>
    <t>Módulo / Épica</t>
  </si>
  <si>
    <t>Historia de usuario</t>
  </si>
  <si>
    <t>Criterio de aceptación</t>
  </si>
  <si>
    <t>Prioridad</t>
  </si>
  <si>
    <t>Objetivo vinculado</t>
  </si>
  <si>
    <t>Puntos de historia</t>
  </si>
  <si>
    <t>Sprint sugerido</t>
  </si>
  <si>
    <t>PB-00</t>
  </si>
  <si>
    <t>Organización del proyecto</t>
  </si>
  <si>
    <t>Como equipo de desarrollo, quiero organizar el proyecto (roles, tablero Trello, repositorio y prototipos de pantallas) para empezar a programar con un plan claro.</t>
  </si>
  <si>
    <t>El tablero Trello tiene el backlog cargado; cada integrante tiene un rol asignado; el repositorio está creado; los prototipos de las pantallas principales fueron revisados por la dueña del negocio.</t>
  </si>
  <si>
    <t>Alta</t>
  </si>
  <si>
    <t>Transversal</t>
  </si>
  <si>
    <t>Sprint 1</t>
  </si>
  <si>
    <t>PB-10</t>
  </si>
  <si>
    <t>Seguridad</t>
  </si>
  <si>
    <t>Como administradora, quiero que los usuarios inicien sesión con roles (administrador, almacén) para proteger la información.</t>
  </si>
  <si>
    <t>Solo ingresa quien tiene usuario y contraseña válidos; con datos incorrectos se muestra un mensaje de error. El rol administrador accede a todas las opciones y crea usuarios; el rol almacén accede a productos, proveedores, movimientos, pedidos, tablero y notas de venta, pero no a reportes ni a la administración de usuarios (ver hoja Roles y Permisos).</t>
  </si>
  <si>
    <t>Sprint 2</t>
  </si>
  <si>
    <t>PB-11</t>
  </si>
  <si>
    <t>Gestión de proveedores</t>
  </si>
  <si>
    <t>Como encargado de almacén, quiero registrar proveedores (nombre, contacto, productos) para asociarlos a los pedidos.</t>
  </si>
  <si>
    <t>Los roles administrador y almacén pueden crear y editar un proveedor con nombre, contacto y productos que ofrece; al registrar un pedido se puede seleccionar un proveedor de la lista.</t>
  </si>
  <si>
    <t>OE3</t>
  </si>
  <si>
    <t>PB-01</t>
  </si>
  <si>
    <t>Gestión de productos</t>
  </si>
  <si>
    <t>Como encargado de almacén, quiero registrar productos (nombre, código, categoría, precio, stock inicial) para tener un catálogo digital del inventario.</t>
  </si>
  <si>
    <t>Se puede crear, editar y desactivar un producto con nombre, código, categoría, precio y stock inicial; si el código ya existe, el sistema muestra un mensaje de error y no guarda; un producto desactivado no aparece al registrar entradas o salidas.</t>
  </si>
  <si>
    <t>OE1</t>
  </si>
  <si>
    <t>PB-02</t>
  </si>
  <si>
    <t>Movimientos de stock</t>
  </si>
  <si>
    <t>Como encargado de almacén, quiero registrar las entradas de productos para que el stock se actualice automáticamente.</t>
  </si>
  <si>
    <t>Al guardar una entrada con cantidad mayor a 0, el stock del producto aumenta en esa cantidad; el movimiento queda registrado con fecha, hora y usuario responsable.</t>
  </si>
  <si>
    <t>PB-03</t>
  </si>
  <si>
    <t>Como encargado de almacén, quiero registrar las salidas de productos para que el stock se actualice automáticamente.</t>
  </si>
  <si>
    <t>Al guardar una salida, el stock disminuye en la cantidad indicada; si la cantidad es mayor al stock disponible, el sistema muestra un mensaje de error y no guarda la salida.</t>
  </si>
  <si>
    <t>Sprint 3</t>
  </si>
  <si>
    <t>PB-04</t>
  </si>
  <si>
    <t>Consulta de stock</t>
  </si>
  <si>
    <t>Como dueña del negocio, quiero consultar el stock actual de cada producto en tiempo real para conocer la cantidad real disponible.</t>
  </si>
  <si>
    <t>La lista de productos muestra el stock vigente de cada producto; después de guardar una entrada o salida, el nuevo stock se ve en la lista en menos de 2 segundos, sin recargar manualmente.</t>
  </si>
  <si>
    <t>PB-05</t>
  </si>
  <si>
    <t>Control de stock</t>
  </si>
  <si>
    <t>Como encargado de almacén, quiero definir un stock mínimo por producto para saber cuándo necesita reabastecerse.</t>
  </si>
  <si>
    <t>Cada producto tiene un campo de stock mínimo (número entero mayor o igual a 0) que se puede ver y editar; el sistema rechaza valores negativos o texto.</t>
  </si>
  <si>
    <t>OE2</t>
  </si>
  <si>
    <t>PB-06</t>
  </si>
  <si>
    <t>Como dueña del negocio, quiero recibir alertas de productos con stock bajo para abastecerme a tiempo.</t>
  </si>
  <si>
    <t>Los productos con stock actual menor o igual a su stock mínimo aparecen en una lista de alertas y se resaltan en rojo en la lista de productos; al superar el mínimo, dejan de aparecer en la lista de alertas.</t>
  </si>
  <si>
    <t>PB-07</t>
  </si>
  <si>
    <t>Gestión de pedidos</t>
  </si>
  <si>
    <t>Como encargado de almacén, quiero registrar pedidos de reabastecimiento con los productos y cantidades para controlar lo que se ha solicitado.</t>
  </si>
  <si>
    <t>El pedido se guarda con fecha, fecha estimada de llegada, proveedor, productos, cantidades (mayores a 0) y estado "Pendiente"; no se puede guardar un pedido sin proveedor o sin al menos un producto.</t>
  </si>
  <si>
    <t>Sprint 4</t>
  </si>
  <si>
    <t>PB-08</t>
  </si>
  <si>
    <t>Como encargado de almacén, quiero ver el estado de cada pedido (Pendiente, En camino, Recibido) para hacer seguimiento.</t>
  </si>
  <si>
    <t>Cada pedido muestra su estado (Pendiente, En camino o Recibido) en la lista de pedidos; el encargado puede cambiar el estado y el nuevo estado se ve en la lista al guardar.</t>
  </si>
  <si>
    <t>PB-09</t>
  </si>
  <si>
    <t>Como encargado de almacén, quiero registrar la recepción de los productos de un pedido para que el stock se actualice y se cierre el pedido.</t>
  </si>
  <si>
    <t>Al confirmar la recepción, se genera una entrada de stock por cada producto del pedido con la cantidad recibida y el pedido pasa a "Recibido"; un pedido ya recibido no se puede recibir de nuevo.</t>
  </si>
  <si>
    <t>PB-12</t>
  </si>
  <si>
    <t>Como dueña del negocio, quiero ver el historial de movimientos (kardex) de cada producto para revisar entradas y salidas pasadas.</t>
  </si>
  <si>
    <t>Se muestra el historial de entradas y salidas con fecha, tipo, cantidad y responsable; se puede filtrar por producto y rango de fechas, y solo aparecen los movimientos dentro del rango elegido.</t>
  </si>
  <si>
    <t>Media</t>
  </si>
  <si>
    <t>PB-18</t>
  </si>
  <si>
    <t>Notas de venta</t>
  </si>
  <si>
    <t>Como encargado de almacén, quiero generar una nota de venta al registrar una salida por venta para entregar un comprobante al cliente.</t>
  </si>
  <si>
    <t>Al registrar una venta se genera una nota con número correlativo único, fecha, cliente, usuario, detalle (producto, cantidad, precio unitario, subtotal) y total; el total es igual a la suma de los subtotales; el stock de cada producto disminuye según lo vendido; la nota se puede imprimir o descargar en PDF y una nota emitida no se puede modificar.</t>
  </si>
  <si>
    <t>PB-13</t>
  </si>
  <si>
    <t>Como dueña del negocio, quiero ver los pedidos atrasados resaltados para actuar oportunamente.</t>
  </si>
  <si>
    <t>Todo pedido que no está en estado "Recibido" y cuya fecha estimada de llegada ya pasó se marca como "Atrasado" y se resalta en la lista de pedidos.</t>
  </si>
  <si>
    <t>Sprint 5</t>
  </si>
  <si>
    <t>PB-14</t>
  </si>
  <si>
    <t>Tablero Kanban</t>
  </si>
  <si>
    <t>Como encargado de almacén, quiero un tablero visual (Por abastecer / Pedido / Recibido) para ver de un vistazo el estado del abastecimiento.</t>
  </si>
  <si>
    <t>El tablero tiene las columnas Por abastecer, Pedido y Recibido; cada producto o pedido aparece en la columna de su estado y, al moverlo a otra columna, su estado se actualiza.</t>
  </si>
  <si>
    <t>OE2 y OE3</t>
  </si>
  <si>
    <t>PB-15</t>
  </si>
  <si>
    <t>Reportes</t>
  </si>
  <si>
    <t>Como dueña del negocio, quiero reportes de inventario y de movimientos para tomar decisiones de compra.</t>
  </si>
  <si>
    <t>Se genera en pantalla un reporte de stock actual (producto, stock, stock mínimo) y un reporte de movimientos filtrable por rango de fechas.</t>
  </si>
  <si>
    <t>Baja</t>
  </si>
  <si>
    <t>Mejora</t>
  </si>
  <si>
    <t>PB-16</t>
  </si>
  <si>
    <t>Como usuario, quiero buscar y filtrar productos por nombre, código o categoría para encontrarlos rápido.</t>
  </si>
  <si>
    <t>Al escribir un nombre, código o categoría, la lista muestra solo los productos que coinciden, en menos de 2 segundos.</t>
  </si>
  <si>
    <t>PB-17</t>
  </si>
  <si>
    <t>Como dueña del negocio, quiero exportar los reportes a Excel o PDF para guardarlos o compartirlos.</t>
  </si>
  <si>
    <t>Los botones "Exportar a Excel" y "Exportar a PDF" descargan un archivo con los mismos datos que muestra el reporte en pantalla.</t>
  </si>
  <si>
    <t>Total puntos</t>
  </si>
  <si>
    <t>REQUERIMIENTOS FUNCIONALES – Sistema de gestión de inventario</t>
  </si>
  <si>
    <t>Módulo, prioridad y sprint se leen automáticamente de la hoja Product Backlog.</t>
  </si>
  <si>
    <t>Requerimiento</t>
  </si>
  <si>
    <t>Historia relacionada</t>
  </si>
  <si>
    <t>Sprint</t>
  </si>
  <si>
    <t>RF-01</t>
  </si>
  <si>
    <t>El sistema debe permitir crear, editar y desactivar productos con nombre, código, categoría, precio y stock inicial, y no permitir códigos repetidos.</t>
  </si>
  <si>
    <t>RF-02</t>
  </si>
  <si>
    <t>El sistema debe registrar entradas de mercadería, aumentar el stock del producto y guardar fecha, hora y usuario responsable.</t>
  </si>
  <si>
    <t>RF-03</t>
  </si>
  <si>
    <t>El sistema debe registrar salidas de mercadería, disminuir el stock y rechazar salidas mayores al stock disponible.</t>
  </si>
  <si>
    <t>RF-04</t>
  </si>
  <si>
    <t>El sistema debe mostrar el stock actual de cada producto y actualizarlo después de cada entrada o salida.</t>
  </si>
  <si>
    <t>RF-05</t>
  </si>
  <si>
    <t>El sistema debe permitir definir y editar un stock mínimo (entero mayor o igual a 0) por producto.</t>
  </si>
  <si>
    <t>RF-06</t>
  </si>
  <si>
    <t>El sistema debe mostrar una lista de alertas y resaltar los productos cuyo stock sea menor o igual al stock mínimo.</t>
  </si>
  <si>
    <t>RF-07</t>
  </si>
  <si>
    <t>El sistema debe registrar pedidos a proveedores con fecha, fecha estimada de llegada, proveedor, productos y cantidades.</t>
  </si>
  <si>
    <t>RF-08</t>
  </si>
  <si>
    <t>El sistema debe mostrar y permitir cambiar el estado de cada pedido (Pendiente, En camino, Recibido).</t>
  </si>
  <si>
    <t>RF-09</t>
  </si>
  <si>
    <t>El sistema debe permitir confirmar la recepción de un pedido y generar automáticamente las entradas de stock correspondientes.</t>
  </si>
  <si>
    <t>RF-10</t>
  </si>
  <si>
    <t>El sistema debe exigir usuario y contraseña para ingresar y limitar las opciones visibles según el rol (administrador o almacén), según la hoja Roles y Permisos.</t>
  </si>
  <si>
    <t>RF-11</t>
  </si>
  <si>
    <t>El sistema debe permitir a los roles administrador y almacén crear y editar proveedores (nombre, contacto, productos que ofrece) y seleccionarlos al registrar un pedido.</t>
  </si>
  <si>
    <t>RF-12</t>
  </si>
  <si>
    <t>El sistema debe mostrar el historial de entradas y salidas, filtrable por producto y rango de fechas.</t>
  </si>
  <si>
    <t>RF-13</t>
  </si>
  <si>
    <t>El sistema debe marcar como Atrasado todo pedido no recibido cuya fecha estimada de llegada ya pasó.</t>
  </si>
  <si>
    <t>RF-14</t>
  </si>
  <si>
    <t>El sistema debe ofrecer un tablero con las columnas Por abastecer, Pedido y Recibido que refleje el estado de cada producto o pedido.</t>
  </si>
  <si>
    <t>RF-15</t>
  </si>
  <si>
    <t>El sistema debe generar reportes de stock actual y de movimientos por rango de fechas.</t>
  </si>
  <si>
    <t>RF-16</t>
  </si>
  <si>
    <t>El sistema debe permitir buscar productos por nombre, código o categoría.</t>
  </si>
  <si>
    <t>RF-17</t>
  </si>
  <si>
    <t>El sistema debe permitir exportar los reportes a Excel y a PDF.</t>
  </si>
  <si>
    <t>RF-18</t>
  </si>
  <si>
    <t>El sistema debe generar una nota de venta con número correlativo, fecha, cliente, detalle de productos y total al registrar una venta, descontar el stock y permitir imprimirla o descargarla en PDF.</t>
  </si>
  <si>
    <t>REQUERIMIENTOS NO FUNCIONALES – Sistema de gestión de inventario</t>
  </si>
  <si>
    <t>Los valores numéricos son propuestas a confirmar con la dueña del negocio.</t>
  </si>
  <si>
    <t>Tipo de requerimiento</t>
  </si>
  <si>
    <t>Criterio medible</t>
  </si>
  <si>
    <t>Historias relacionadas</t>
  </si>
  <si>
    <t>RNF-01</t>
  </si>
  <si>
    <t>Rendimiento</t>
  </si>
  <si>
    <t>Las consultas y búsquedas de productos deben responder rápido.</t>
  </si>
  <si>
    <t>Respuesta en menos de 2 segundos con hasta 1.000 productos registrados.</t>
  </si>
  <si>
    <t>PB-04, PB-16</t>
  </si>
  <si>
    <t>RNF-02</t>
  </si>
  <si>
    <t>El stock mostrado debe actualizarse tras registrar un movimiento.</t>
  </si>
  <si>
    <t>El nuevo stock se ve en la lista en menos de 2 segundos, sin recargar manualmente.</t>
  </si>
  <si>
    <t>PB-02, PB-03, PB-04</t>
  </si>
  <si>
    <t>RNF-03</t>
  </si>
  <si>
    <t>Las contraseñas no deben guardarse en texto plano.</t>
  </si>
  <si>
    <t>Contraseñas almacenadas con cifrado hash (por ejemplo, bcrypt).</t>
  </si>
  <si>
    <t>RNF-04</t>
  </si>
  <si>
    <t>El acceso a las funciones debe depender del rol del usuario.</t>
  </si>
  <si>
    <t>El rol almacén no puede abrir reportes ni la administración de usuarios; se prueba con ambos roles.</t>
  </si>
  <si>
    <t>RNF-05</t>
  </si>
  <si>
    <t>La sesión debe cerrarse por inactividad.</t>
  </si>
  <si>
    <t>Cierre automático tras 15 minutos sin actividad.</t>
  </si>
  <si>
    <t>RNF-06</t>
  </si>
  <si>
    <t>Usabilidad</t>
  </si>
  <si>
    <t>Registrar una entrada o salida debe ser sencillo para personal sin experiencia técnica.</t>
  </si>
  <si>
    <t>Un usuario nuevo registra una salida en menos de 1 minuto tras una capacitación de 15 minutos.</t>
  </si>
  <si>
    <t>PB-02, PB-03</t>
  </si>
  <si>
    <t>RNF-07</t>
  </si>
  <si>
    <t>Todos los módulos</t>
  </si>
  <si>
    <t>La interfaz y los mensajes de error deben estar en español y ser claros.</t>
  </si>
  <si>
    <t>Todo mensaje de error indica qué pasó y cómo corregirlo.</t>
  </si>
  <si>
    <t>Todas</t>
  </si>
  <si>
    <t>RNF-08</t>
  </si>
  <si>
    <t>Compatibilidad</t>
  </si>
  <si>
    <t>El sistema debe funcionar en los navegadores más usados.</t>
  </si>
  <si>
    <t>Funciona en las últimas versiones de Chrome, Edge y Firefox.</t>
  </si>
  <si>
    <t>RNF-09</t>
  </si>
  <si>
    <t>La interfaz debe adaptarse a distintos tamaños de pantalla.</t>
  </si>
  <si>
    <t>Se usa sin desplazamiento horizontal en PC (1366 px) y tablet (768 px).</t>
  </si>
  <si>
    <t>RNF-10</t>
  </si>
  <si>
    <t>Disponibilidad</t>
  </si>
  <si>
    <t>El sistema debe estar disponible en el horario de atención del negocio.</t>
  </si>
  <si>
    <t>Disponibilidad mínima del 95% en el horario de atención.</t>
  </si>
  <si>
    <t>RNF-11</t>
  </si>
  <si>
    <t>Confiabilidad</t>
  </si>
  <si>
    <t>Los datos deben poder recuperarse ante una falla.</t>
  </si>
  <si>
    <t>Copia de respaldo automática de la base de datos cada día.</t>
  </si>
  <si>
    <t>RNF-12</t>
  </si>
  <si>
    <t>Integridad de datos</t>
  </si>
  <si>
    <t>El stock no puede quedar en valores inválidos y cada movimiento debe ser rastreable.</t>
  </si>
  <si>
    <t>Stock nunca negativo; todo movimiento guarda fecha, hora y usuario.</t>
  </si>
  <si>
    <t>PB-02, PB-03, PB-09</t>
  </si>
  <si>
    <t>RNF-13</t>
  </si>
  <si>
    <t>Capacidad</t>
  </si>
  <si>
    <t>El sistema debe soportar el uso normal del negocio.</t>
  </si>
  <si>
    <t>Al menos 5 usuarios simultáneos sin pérdida de rendimiento.</t>
  </si>
  <si>
    <t>RNF-14</t>
  </si>
  <si>
    <t>Mantenibilidad</t>
  </si>
  <si>
    <t>El código debe estar organizado y versionado.</t>
  </si>
  <si>
    <t>Código en repositorio con control de versiones y un README con instrucciones de instalación.</t>
  </si>
  <si>
    <t>ROLES Y PERMISOS – Sistema de gestión de inventario</t>
  </si>
  <si>
    <t>Define qué puede hacer cada rol (PB-10). El módulo se lee de la hoja Product Backlog.</t>
  </si>
  <si>
    <t>Función</t>
  </si>
  <si>
    <t>Administrador</t>
  </si>
  <si>
    <t>Almacén</t>
  </si>
  <si>
    <t>Iniciar sesión</t>
  </si>
  <si>
    <t>Sí</t>
  </si>
  <si>
    <t>Crear usuarios y asignar roles</t>
  </si>
  <si>
    <t>No</t>
  </si>
  <si>
    <t>Registrar, editar y desactivar productos</t>
  </si>
  <si>
    <t>Buscar y filtrar productos</t>
  </si>
  <si>
    <t>Registrar entradas de productos</t>
  </si>
  <si>
    <t>Registrar salidas de productos</t>
  </si>
  <si>
    <t>Consultar el stock actual</t>
  </si>
  <si>
    <t>Definir el stock mínimo</t>
  </si>
  <si>
    <t>Ver alertas de stock bajo</t>
  </si>
  <si>
    <t>Ver el historial de movimientos (kardex)</t>
  </si>
  <si>
    <t>Registrar y editar proveedores</t>
  </si>
  <si>
    <t>Registrar pedidos de reabastecimiento</t>
  </si>
  <si>
    <t>Cambiar el estado de los pedidos</t>
  </si>
  <si>
    <t>Registrar la recepción de un pedido</t>
  </si>
  <si>
    <t>Ver pedidos atrasados</t>
  </si>
  <si>
    <t>Usar el tablero Kanban</t>
  </si>
  <si>
    <t>Generar notas de venta</t>
  </si>
  <si>
    <t>Ver reportes de inventario y movimientos</t>
  </si>
  <si>
    <t>Exportar reportes a Excel o PDF</t>
  </si>
  <si>
    <t>Descripción de los roles</t>
  </si>
  <si>
    <t>Dueña del negocio. Accede a todas las funciones, crea usuarios y consulta reportes.</t>
  </si>
  <si>
    <t>Encargado de almacén. Maneja productos, proveedores, movimientos, pedidos, tablero y notas de venta. No ve reportes ni administra usuarios.</t>
  </si>
  <si>
    <t>CAMPOS DE LAS TABLAS – Diccionario de datos del sistema de inventario</t>
  </si>
  <si>
    <t>Basado en el modelo de datos del documento (sección 3.3). PK = clave primaria, FK = clave foránea, UQ = valor único. Origen: Diagrama = está en el modelo; Sugerido = falta en el diagrama y lo piden las historias; Revisar = confirmar con el equipo.</t>
  </si>
  <si>
    <t>Tabla</t>
  </si>
  <si>
    <t>Campo</t>
  </si>
  <si>
    <t>Tipo de dato</t>
  </si>
  <si>
    <t>Clave</t>
  </si>
  <si>
    <t>Obligatorio</t>
  </si>
  <si>
    <t>Descripción / regla</t>
  </si>
  <si>
    <t>Origen</t>
  </si>
  <si>
    <t>USUARIOS</t>
  </si>
  <si>
    <t>id_usuario</t>
  </si>
  <si>
    <t>INT</t>
  </si>
  <si>
    <t>PK</t>
  </si>
  <si>
    <t>Identificador autogenerado.</t>
  </si>
  <si>
    <t>Diagrama</t>
  </si>
  <si>
    <t>nombre</t>
  </si>
  <si>
    <t>VARCHAR(50)</t>
  </si>
  <si>
    <t>Nombres del usuario.</t>
  </si>
  <si>
    <t>apellido</t>
  </si>
  <si>
    <t>Apellidos del usuario.</t>
  </si>
  <si>
    <t>correo</t>
  </si>
  <si>
    <t>VARCHAR(100)</t>
  </si>
  <si>
    <t>UQ</t>
  </si>
  <si>
    <t>Se usa para iniciar sesión; no se repite.</t>
  </si>
  <si>
    <t>contraseña</t>
  </si>
  <si>
    <t>VARCHAR(255)</t>
  </si>
  <si>
    <t>Se guarda cifrada con hash, nunca en texto plano (RNF-03).</t>
  </si>
  <si>
    <t>rol</t>
  </si>
  <si>
    <t>VARCHAR(15)</t>
  </si>
  <si>
    <t>Administrador o Almacén (ver hoja Roles y Permisos).</t>
  </si>
  <si>
    <t>estado</t>
  </si>
  <si>
    <t>VARCHAR(10)</t>
  </si>
  <si>
    <t>Activo o Inactivo; un usuario inactivo no puede ingresar.</t>
  </si>
  <si>
    <t>PRODUCTOS</t>
  </si>
  <si>
    <t>id_producto</t>
  </si>
  <si>
    <t>codigo</t>
  </si>
  <si>
    <t>VARCHAR(20)</t>
  </si>
  <si>
    <t>Código del producto; no se permiten repetidos.</t>
  </si>
  <si>
    <t>Nombre del producto.</t>
  </si>
  <si>
    <t>descripcion</t>
  </si>
  <si>
    <t>Detalle opcional del producto.</t>
  </si>
  <si>
    <t>categoria</t>
  </si>
  <si>
    <t>Categoría; se usa para buscar y filtrar.</t>
  </si>
  <si>
    <t>PB-01, PB-16</t>
  </si>
  <si>
    <t>precio</t>
  </si>
  <si>
    <t>DECIMAL(10,2)</t>
  </si>
  <si>
    <t>Precio de venta unitario; mayor o igual a 0.</t>
  </si>
  <si>
    <t>stock</t>
  </si>
  <si>
    <t>Cantidad disponible; nunca negativa. Empieza con el stock inicial.</t>
  </si>
  <si>
    <t>PB-01, PB-04</t>
  </si>
  <si>
    <t>stock_minimo</t>
  </si>
  <si>
    <t>Cantidad mínima antes de alertar; entero mayor o igual a 0.</t>
  </si>
  <si>
    <t>PB-05, PB-06</t>
  </si>
  <si>
    <t>id_proveedor</t>
  </si>
  <si>
    <t>FK → PROVEEDORES.id_proveedor</t>
  </si>
  <si>
    <t>Proveedor que abastece el producto.</t>
  </si>
  <si>
    <t>Activo o Inactivo. Falta en el diagrama: PB-01 pide desactivar productos.</t>
  </si>
  <si>
    <t>Sugerido</t>
  </si>
  <si>
    <t>PROVEEDORES</t>
  </si>
  <si>
    <t>Nombre o razón social.</t>
  </si>
  <si>
    <t>ruc</t>
  </si>
  <si>
    <t>CHAR(11)</t>
  </si>
  <si>
    <t>RUC del proveedor; 11 dígitos, no se repite.</t>
  </si>
  <si>
    <t>telefono</t>
  </si>
  <si>
    <t>Teléfono de contacto.</t>
  </si>
  <si>
    <t>Correo de contacto.</t>
  </si>
  <si>
    <t>direccion</t>
  </si>
  <si>
    <t>VARCHAR(150)</t>
  </si>
  <si>
    <t>Dirección del proveedor.</t>
  </si>
  <si>
    <t>Activo o Inactivo; solo los activos se eligen en pedidos.</t>
  </si>
  <si>
    <t>PEDIDOS</t>
  </si>
  <si>
    <t>id_pedido</t>
  </si>
  <si>
    <t>Identificador autogenerado. En el diagrama aparece como id_pedidos; conviene unificar con DETALLE_PEDIDO.</t>
  </si>
  <si>
    <t>Revisar</t>
  </si>
  <si>
    <t>fecha_pedido</t>
  </si>
  <si>
    <t>DATE</t>
  </si>
  <si>
    <t>Fecha en que se registra el pedido.</t>
  </si>
  <si>
    <t>Pendiente, En camino o Recibido. "Atrasado" no se guarda: se calcula con la fecha estimada.</t>
  </si>
  <si>
    <t>PB-08, PB-13</t>
  </si>
  <si>
    <t>fecha_estimada_entrega</t>
  </si>
  <si>
    <t>Fecha prevista de llegada; sirve para detectar pedidos atrasados.</t>
  </si>
  <si>
    <t>PB-07, PB-13</t>
  </si>
  <si>
    <t>Proveedor al que se hace el pedido.</t>
  </si>
  <si>
    <t>PB-07, PB-11</t>
  </si>
  <si>
    <t>FK → USUARIOS.id_usuario</t>
  </si>
  <si>
    <t>Usuario que registró el pedido.</t>
  </si>
  <si>
    <t>DETALLE_PEDIDO</t>
  </si>
  <si>
    <t>id_detalle</t>
  </si>
  <si>
    <t>FK → PEDIDOS.id_pedido</t>
  </si>
  <si>
    <t>Pedido al que pertenece la línea.</t>
  </si>
  <si>
    <t>FK → PRODUCTOS.id_producto</t>
  </si>
  <si>
    <t>Producto solicitado.</t>
  </si>
  <si>
    <t>cantidad</t>
  </si>
  <si>
    <t>Cantidad solicitada, mayor a 0; es la que se ingresa al stock al recibir el pedido.</t>
  </si>
  <si>
    <t>PB-07, PB-09</t>
  </si>
  <si>
    <t>Precio unitario del producto en el pedido.</t>
  </si>
  <si>
    <t>MOVIMIENTOS</t>
  </si>
  <si>
    <t>id_movimiento</t>
  </si>
  <si>
    <t>Producto afectado.</t>
  </si>
  <si>
    <t>Usuario responsable del movimiento.</t>
  </si>
  <si>
    <t>tipo_movimiento</t>
  </si>
  <si>
    <t>Entrada o Salida.</t>
  </si>
  <si>
    <t>Cantidad movida, mayor a 0. Una salida no puede superar el stock.</t>
  </si>
  <si>
    <t>fecha_movimiento</t>
  </si>
  <si>
    <t>DATETIME</t>
  </si>
  <si>
    <t>Fecha y hora del movimiento; base del historial (kardex).</t>
  </si>
  <si>
    <t>PB-02, PB-12</t>
  </si>
  <si>
    <t>stock_anterior</t>
  </si>
  <si>
    <t>Stock del producto antes del movimiento.</t>
  </si>
  <si>
    <t>stock_nuevo</t>
  </si>
  <si>
    <t>Stock del producto después del movimiento.</t>
  </si>
  <si>
    <t>observacion</t>
  </si>
  <si>
    <t>Nota opcional (motivo, número de pedido, etc.).</t>
  </si>
  <si>
    <t>salida</t>
  </si>
  <si>
    <t>Por definir</t>
  </si>
  <si>
    <t>Aparece en el diagrama, pero tipo_movimiento ya indica si es Entrada o Salida. Confirmar su uso o quitarlo.</t>
  </si>
  <si>
    <t>—</t>
  </si>
  <si>
    <t>NOTAS_VENTA</t>
  </si>
  <si>
    <t>id_nota_venta</t>
  </si>
  <si>
    <t>numero_nota</t>
  </si>
  <si>
    <t>Número correlativo de la nota; no se repite.</t>
  </si>
  <si>
    <t>fecha_emision</t>
  </si>
  <si>
    <t>Fecha y hora de emisión.</t>
  </si>
  <si>
    <t>total</t>
  </si>
  <si>
    <t>Suma de los subtotales del detalle.</t>
  </si>
  <si>
    <t>Emitida o Anulada. Una nota emitida no se modifica.</t>
  </si>
  <si>
    <t>Usuario que emitió la nota.</t>
  </si>
  <si>
    <t>cliente</t>
  </si>
  <si>
    <t>Nombre del cliente. Falta en el diagrama: PB-18 lo pide en la nota.</t>
  </si>
  <si>
    <t>DETALLE_VENTA</t>
  </si>
  <si>
    <t>id_detalle_venta</t>
  </si>
  <si>
    <t>FK → NOTAS_VENTA.id_nota_venta</t>
  </si>
  <si>
    <t>Nota a la que pertenece la línea.</t>
  </si>
  <si>
    <t>Producto vendido.</t>
  </si>
  <si>
    <t>Cantidad vendida, mayor a 0.</t>
  </si>
  <si>
    <t>precio_unitario</t>
  </si>
  <si>
    <t>Precio del producto al momento de la venta.</t>
  </si>
  <si>
    <t>subtotal</t>
  </si>
  <si>
    <t>cantidad × precio_unitario.</t>
  </si>
  <si>
    <t>Relaciones entre las tablas</t>
  </si>
  <si>
    <t>Tabla (1)</t>
  </si>
  <si>
    <t>Tabla (N)</t>
  </si>
  <si>
    <t>Cardinalidad</t>
  </si>
  <si>
    <t>Clave foránea</t>
  </si>
  <si>
    <t>Descripción</t>
  </si>
  <si>
    <t>1 a N</t>
  </si>
  <si>
    <t>PEDIDOS.id_usuario</t>
  </si>
  <si>
    <t>Un usuario puede registrar varios pedidos.</t>
  </si>
  <si>
    <t>NOTAS_VENTA.id_usuario</t>
  </si>
  <si>
    <t>Un usuario puede emitir varias notas de venta.</t>
  </si>
  <si>
    <t>MOVIMIENTOS.id_usuario</t>
  </si>
  <si>
    <t>Un usuario puede registrar varios movimientos de inventario.</t>
  </si>
  <si>
    <t>PRODUCTOS.id_proveedor</t>
  </si>
  <si>
    <t>Un proveedor puede abastecer varios productos.</t>
  </si>
  <si>
    <t>PEDIDOS.id_proveedor</t>
  </si>
  <si>
    <t>Un proveedor puede estar asociado a varios pedidos.</t>
  </si>
  <si>
    <t>DETALLE_PEDIDO.id_pedido</t>
  </si>
  <si>
    <t>Un pedido contiene varios productos mediante su detalle.</t>
  </si>
  <si>
    <t>DETALLE_PEDIDO.id_producto</t>
  </si>
  <si>
    <t>Un producto puede aparecer en varios detalles de pedido.</t>
  </si>
  <si>
    <t>MOVIMIENTOS.id_producto</t>
  </si>
  <si>
    <t>Un producto puede tener varios movimientos de inventario.</t>
  </si>
  <si>
    <t>DETALLE_VENTA.id_nota_venta</t>
  </si>
  <si>
    <t>Una nota de venta incluye varios productos mediante su detalle.</t>
  </si>
  <si>
    <t>DETALLE_VENTA.id_producto</t>
  </si>
  <si>
    <t>Un producto puede aparecer en varios detalles de venta.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</si>
</sst>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20"/>
      <name val="Amasis MT Pro Medium"/>
      <family val="1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9"/>
      <name val="Arial"/>
      <charset val="1"/>
    </font>
    <font>
      <b/>
      <sz val="14"/>
      <color rgb="FFFFFFFF"/>
      <name val="Arial"/>
      <family val="2"/>
      <charset val="1"/>
    </font>
    <font>
      <b/>
      <sz val="12"/>
      <color rgb="FFFFFFFF"/>
      <name val="Arial Black"/>
      <family val="2"/>
      <charset val="1"/>
    </font>
    <font>
      <b/>
      <sz val="10"/>
      <name val="Arial"/>
      <charset val="1"/>
    </font>
    <font>
      <b/>
      <sz val="24"/>
      <name val="Amasis MT Pro Medium"/>
      <family val="1"/>
    </font>
  </fonts>
  <fills count="12">
    <fill>
      <patternFill patternType="none"/>
    </fill>
    <fill>
      <patternFill patternType="gray125"/>
    </fill>
    <fill>
      <patternFill patternType="solid">
        <fgColor rgb="FF9933FF"/>
        <bgColor rgb="FF993366"/>
      </patternFill>
    </fill>
    <fill>
      <patternFill patternType="solid">
        <fgColor rgb="FFFF6565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FFFFFF"/>
        <bgColor rgb="FFEEF2F8"/>
      </patternFill>
    </fill>
    <fill>
      <patternFill patternType="solid">
        <fgColor rgb="FFFFF2CC"/>
        <bgColor rgb="FFFCE4E4"/>
      </patternFill>
    </fill>
    <fill>
      <patternFill patternType="solid">
        <fgColor rgb="FF9933FF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E5FF"/>
        <bgColor rgb="FFE2EFDA"/>
      </patternFill>
    </fill>
  </fills>
  <borders count="51">
    <border>
      <left/>
      <right/>
      <top/>
      <bottom/>
      <diagonal/>
    </border>
    <border>
      <left style="thin">
        <color rgb="FF9933FF"/>
      </left>
      <right style="thin">
        <color rgb="FF9933FF"/>
      </right>
      <top style="thin">
        <color rgb="FF9933FF"/>
      </top>
      <bottom style="thin">
        <color rgb="FF9933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9933FF"/>
      </right>
      <top style="thin">
        <color rgb="FFBFBFBF"/>
      </top>
      <bottom style="thin">
        <color rgb="FFBFBFBF"/>
      </bottom>
      <diagonal/>
    </border>
    <border>
      <left style="thin">
        <color rgb="FF9933FF"/>
      </left>
      <right style="thin">
        <color rgb="FFBFBFBF"/>
      </right>
      <top style="thin">
        <color rgb="FFBFBFBF"/>
      </top>
      <bottom style="thin">
        <color rgb="FF9933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9933FF"/>
      </bottom>
      <diagonal/>
    </border>
    <border>
      <left style="thin">
        <color rgb="FFBFBFBF"/>
      </left>
      <right style="thin">
        <color rgb="FF9933FF"/>
      </right>
      <top style="thin">
        <color rgb="FFBFBFBF"/>
      </top>
      <bottom style="thin">
        <color rgb="FF9933FF"/>
      </bottom>
      <diagonal/>
    </border>
    <border>
      <left style="thin">
        <color rgb="FFBFBFBF"/>
      </left>
      <right style="thin">
        <color rgb="FF9933F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9933F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9933FF"/>
      </bottom>
      <diagonal/>
    </border>
    <border>
      <left/>
      <right style="thin">
        <color rgb="FF9933F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9933FF"/>
      </top>
      <bottom/>
      <diagonal/>
    </border>
    <border>
      <left/>
      <right style="thin">
        <color rgb="FF9933FF"/>
      </right>
      <top style="thin">
        <color rgb="FF9933FF"/>
      </top>
      <bottom style="thin">
        <color rgb="FFBFBFBF"/>
      </bottom>
      <diagonal/>
    </border>
    <border>
      <left/>
      <right/>
      <top/>
      <bottom style="thin">
        <color rgb="FF9933FF"/>
      </bottom>
      <diagonal/>
    </border>
    <border>
      <left style="thin">
        <color rgb="FF9933FF"/>
      </left>
      <right style="thin">
        <color rgb="FF9933FF"/>
      </right>
      <top style="thin">
        <color rgb="FF9933FF"/>
      </top>
      <bottom style="thin">
        <color rgb="FFBFBFBF"/>
      </bottom>
      <diagonal/>
    </border>
    <border>
      <left style="thin">
        <color rgb="FF9933FF"/>
      </left>
      <right style="thin">
        <color rgb="FF9933FF"/>
      </right>
      <top style="thin">
        <color rgb="FFBFBFBF"/>
      </top>
      <bottom style="thin">
        <color rgb="FFBFBFBF"/>
      </bottom>
      <diagonal/>
    </border>
    <border>
      <left style="thin">
        <color rgb="FF9933FF"/>
      </left>
      <right style="thin">
        <color rgb="FF9933FF"/>
      </right>
      <top style="thin">
        <color rgb="FFBFBFBF"/>
      </top>
      <bottom/>
      <diagonal/>
    </border>
    <border>
      <left style="thin">
        <color rgb="FF9933FF"/>
      </left>
      <right style="thin">
        <color rgb="FF9933FF"/>
      </right>
      <top style="thin">
        <color rgb="FF9933FF"/>
      </top>
      <bottom/>
      <diagonal/>
    </border>
    <border>
      <left style="thin">
        <color rgb="FF9933FF"/>
      </left>
      <right style="thin">
        <color rgb="FF9933FF"/>
      </right>
      <top style="thin">
        <color rgb="FFBFBFBF"/>
      </top>
      <bottom style="thin">
        <color rgb="FF9933FF"/>
      </bottom>
      <diagonal/>
    </border>
    <border>
      <left style="thin">
        <color rgb="FF9933FF"/>
      </left>
      <right style="thin">
        <color rgb="FF9933FF"/>
      </right>
      <top/>
      <bottom style="thin">
        <color rgb="FFBFBFBF"/>
      </bottom>
      <diagonal/>
    </border>
    <border>
      <left style="thin">
        <color rgb="FF9933FF"/>
      </left>
      <right style="thin">
        <color rgb="FF9933FF"/>
      </right>
      <top/>
      <bottom style="thin">
        <color rgb="FF9933FF"/>
      </bottom>
      <diagonal/>
    </border>
    <border>
      <left/>
      <right style="thin">
        <color rgb="FF9933FF"/>
      </right>
      <top/>
      <bottom style="thin">
        <color rgb="FF9933FF"/>
      </bottom>
      <diagonal/>
    </border>
    <border>
      <left/>
      <right/>
      <top style="thin">
        <color rgb="FF9933F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9933FF"/>
      </left>
      <right/>
      <top/>
      <bottom style="thin">
        <color rgb="FF9933FF"/>
      </bottom>
      <diagonal/>
    </border>
    <border>
      <left style="thin">
        <color rgb="FF9933FF"/>
      </left>
      <right/>
      <top style="thin">
        <color rgb="FF9933FF"/>
      </top>
      <bottom/>
      <diagonal/>
    </border>
    <border>
      <left style="thin">
        <color rgb="FF9933FF"/>
      </left>
      <right style="thin">
        <color rgb="FF9933FF"/>
      </right>
      <top/>
      <bottom/>
      <diagonal/>
    </border>
    <border>
      <left style="thin">
        <color rgb="FF9933FF"/>
      </left>
      <right/>
      <top style="thin">
        <color rgb="FF9933FF"/>
      </top>
      <bottom style="thin">
        <color rgb="FF9933FF"/>
      </bottom>
      <diagonal/>
    </border>
    <border>
      <left style="thin">
        <color rgb="FF9933FF"/>
      </left>
      <right/>
      <top/>
      <bottom/>
      <diagonal/>
    </border>
    <border>
      <left/>
      <right style="thin">
        <color rgb="FF9933FF"/>
      </right>
      <top style="thin">
        <color rgb="FF9933FF"/>
      </top>
      <bottom style="thin">
        <color rgb="FF9933FF"/>
      </bottom>
      <diagonal/>
    </border>
    <border>
      <left/>
      <right style="thin">
        <color rgb="FF9933FF"/>
      </right>
      <top/>
      <bottom/>
      <diagonal/>
    </border>
    <border>
      <left/>
      <right/>
      <top style="thin">
        <color rgb="FF9933FF"/>
      </top>
      <bottom style="thin">
        <color rgb="FF9933FF"/>
      </bottom>
      <diagonal/>
    </border>
    <border>
      <left style="thin">
        <color rgb="FFBFBFBF"/>
      </left>
      <right style="thin">
        <color rgb="FF9933FF"/>
      </right>
      <top style="thin">
        <color rgb="FF9933FF"/>
      </top>
      <bottom/>
      <diagonal/>
    </border>
    <border>
      <left style="thin">
        <color rgb="FF9933FF"/>
      </left>
      <right style="thin">
        <color rgb="FFBFBFBF"/>
      </right>
      <top style="thin">
        <color rgb="FF9933FF"/>
      </top>
      <bottom style="thin">
        <color rgb="FF9933FF"/>
      </bottom>
      <diagonal/>
    </border>
    <border>
      <left style="thin">
        <color rgb="FFBFBFBF"/>
      </left>
      <right style="thin">
        <color rgb="FFBFBFBF"/>
      </right>
      <top style="thin">
        <color rgb="FF9933FF"/>
      </top>
      <bottom style="thin">
        <color rgb="FF9933FF"/>
      </bottom>
      <diagonal/>
    </border>
    <border>
      <left style="thin">
        <color rgb="FFBFBFBF"/>
      </left>
      <right style="thin">
        <color rgb="FF9933FF"/>
      </right>
      <top style="thin">
        <color rgb="FF9933FF"/>
      </top>
      <bottom style="thin">
        <color rgb="FF9933FF"/>
      </bottom>
      <diagonal/>
    </border>
    <border>
      <left style="thin">
        <color rgb="FFBFBFBF"/>
      </left>
      <right style="thin">
        <color rgb="FF9933FF"/>
      </right>
      <top/>
      <bottom style="thin">
        <color rgb="FF9933F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9933FF"/>
      </right>
      <top/>
      <bottom/>
      <diagonal/>
    </border>
    <border>
      <left/>
      <right style="thin">
        <color rgb="FFBFBFBF"/>
      </right>
      <top style="thin">
        <color rgb="FF9933FF"/>
      </top>
      <bottom style="thin">
        <color rgb="FF9933FF"/>
      </bottom>
      <diagonal/>
    </border>
    <border>
      <left/>
      <right style="thin">
        <color rgb="FFBFBFBF"/>
      </right>
      <top/>
      <bottom style="thin">
        <color rgb="FF9933F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9933FF"/>
      </right>
      <top style="thin">
        <color rgb="FF9933FF"/>
      </top>
      <bottom/>
      <diagonal/>
    </border>
    <border>
      <left/>
      <right/>
      <top style="thin">
        <color rgb="FF9933FF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6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32" xfId="0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4" fillId="9" borderId="26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8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11" borderId="3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36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0" xfId="0" applyFont="1" applyFill="1" applyBorder="1" applyAlignment="1">
      <alignment horizontal="left" vertical="center" wrapText="1"/>
    </xf>
    <xf numFmtId="0" fontId="4" fillId="11" borderId="35" xfId="0" applyFont="1" applyFill="1" applyBorder="1" applyAlignment="1">
      <alignment horizontal="left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 wrapText="1"/>
    </xf>
    <xf numFmtId="0" fontId="4" fillId="11" borderId="49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left" vertical="center" wrapText="1"/>
    </xf>
    <xf numFmtId="0" fontId="4" fillId="11" borderId="26" xfId="0" applyFont="1" applyFill="1" applyBorder="1" applyAlignment="1">
      <alignment horizontal="left" vertical="center" wrapText="1"/>
    </xf>
    <xf numFmtId="0" fontId="4" fillId="11" borderId="37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9" fillId="11" borderId="32" xfId="0" applyFont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4" fillId="7" borderId="37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left" vertical="center" wrapText="1"/>
    </xf>
    <xf numFmtId="0" fontId="4" fillId="7" borderId="3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9" fillId="6" borderId="32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left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6" borderId="37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left" vertical="center" wrapText="1"/>
    </xf>
    <xf numFmtId="0" fontId="4" fillId="6" borderId="3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left" vertical="center" wrapText="1"/>
    </xf>
    <xf numFmtId="0" fontId="9" fillId="6" borderId="13" xfId="0" applyFont="1" applyFill="1" applyBorder="1" applyAlignment="1">
      <alignment horizontal="left" vertical="center" wrapText="1"/>
    </xf>
    <xf numFmtId="0" fontId="9" fillId="6" borderId="33" xfId="0" applyFont="1" applyFill="1" applyBorder="1" applyAlignment="1">
      <alignment horizontal="left" vertical="center" wrapText="1"/>
    </xf>
    <xf numFmtId="0" fontId="9" fillId="6" borderId="48" xfId="0" applyFont="1" applyFill="1" applyBorder="1" applyAlignment="1">
      <alignment horizontal="left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32" xfId="0" applyFont="1" applyFill="1" applyBorder="1" applyAlignment="1">
      <alignment horizontal="left" vertical="center" wrapText="1"/>
    </xf>
    <xf numFmtId="0" fontId="4" fillId="7" borderId="32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9" fillId="7" borderId="42" xfId="0" applyFont="1" applyFill="1" applyBorder="1" applyAlignment="1">
      <alignment horizontal="left" vertical="center" wrapText="1"/>
    </xf>
    <xf numFmtId="0" fontId="4" fillId="7" borderId="25" xfId="0" applyFont="1" applyFill="1" applyBorder="1" applyAlignment="1">
      <alignment horizontal="left" vertical="center" wrapText="1"/>
    </xf>
    <xf numFmtId="0" fontId="4" fillId="11" borderId="32" xfId="0" applyFont="1" applyFill="1" applyBorder="1" applyAlignment="1">
      <alignment horizontal="left" vertical="center" wrapText="1"/>
    </xf>
    <xf numFmtId="0" fontId="4" fillId="11" borderId="22" xfId="0" applyFont="1" applyFill="1" applyBorder="1" applyAlignment="1">
      <alignment horizontal="left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1" borderId="49" xfId="0" applyFont="1" applyFill="1" applyBorder="1" applyAlignment="1">
      <alignment horizontal="left" vertical="center" wrapText="1"/>
    </xf>
    <xf numFmtId="0" fontId="4" fillId="11" borderId="36" xfId="0" applyFont="1" applyFill="1" applyBorder="1" applyAlignment="1">
      <alignment horizontal="left" vertical="center" wrapText="1"/>
    </xf>
    <xf numFmtId="0" fontId="4" fillId="11" borderId="29" xfId="0" applyFont="1" applyFill="1" applyBorder="1" applyAlignment="1">
      <alignment horizontal="left" vertical="center" wrapText="1"/>
    </xf>
    <xf numFmtId="0" fontId="4" fillId="11" borderId="50" xfId="0" applyFont="1" applyFill="1" applyBorder="1" applyAlignment="1">
      <alignment horizontal="left" vertical="center" wrapText="1"/>
    </xf>
    <xf numFmtId="0" fontId="9" fillId="11" borderId="22" xfId="0" applyFont="1" applyFill="1" applyBorder="1" applyAlignment="1">
      <alignment horizontal="left" vertical="center" wrapText="1"/>
    </xf>
    <xf numFmtId="0" fontId="9" fillId="11" borderId="44" xfId="0" applyFont="1" applyFill="1" applyBorder="1" applyAlignment="1">
      <alignment horizontal="left" vertical="center" wrapText="1"/>
    </xf>
    <xf numFmtId="0" fontId="9" fillId="11" borderId="42" xfId="0" applyFont="1" applyFill="1" applyBorder="1" applyAlignment="1">
      <alignment horizontal="left" vertical="center" wrapText="1"/>
    </xf>
    <xf numFmtId="0" fontId="9" fillId="6" borderId="44" xfId="0" applyFont="1" applyFill="1" applyBorder="1" applyAlignment="1">
      <alignment horizontal="left" vertical="center" wrapText="1"/>
    </xf>
    <xf numFmtId="0" fontId="9" fillId="11" borderId="13" xfId="0" applyFont="1" applyFill="1" applyBorder="1" applyAlignment="1">
      <alignment horizontal="left" vertical="center" wrapText="1"/>
    </xf>
    <xf numFmtId="0" fontId="9" fillId="11" borderId="33" xfId="0" applyFont="1" applyFill="1" applyBorder="1" applyAlignment="1">
      <alignment horizontal="left" vertical="center" wrapText="1"/>
    </xf>
    <xf numFmtId="0" fontId="9" fillId="11" borderId="48" xfId="0" applyFont="1" applyFill="1" applyBorder="1" applyAlignment="1">
      <alignment horizontal="left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left" vertical="center" wrapText="1"/>
    </xf>
    <xf numFmtId="0" fontId="9" fillId="7" borderId="33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CE4E4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FF"/>
      <rgbColor rgb="FFFFF2CC"/>
      <rgbColor rgb="FFEEF2F8"/>
      <rgbColor rgb="FF660066"/>
      <rgbColor rgb="FFFF656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FF"/>
      <color rgb="FFF2E5FF"/>
      <color rgb="FFD1A3FF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885960</xdr:colOff>
      <xdr:row>0</xdr:row>
      <xdr:rowOff>258120</xdr:rowOff>
    </xdr:from>
    <xdr:to>
      <xdr:col>8</xdr:col>
      <xdr:colOff>726480</xdr:colOff>
      <xdr:row>1</xdr:row>
      <xdr:rowOff>182160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4323" t="4728" r="3447" b="23406"/>
        <a:stretch/>
      </xdr:blipFill>
      <xdr:spPr>
        <a:xfrm>
          <a:off x="12124080" y="258120"/>
          <a:ext cx="1545120" cy="686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59" zoomScaleNormal="59" workbookViewId="0">
      <pane ySplit="4" topLeftCell="A5" activePane="bottomLeft" state="frozen"/>
      <selection pane="bottomLeft" activeCell="P9" sqref="P9"/>
    </sheetView>
  </sheetViews>
  <sheetFormatPr baseColWidth="10" defaultColWidth="8.6328125" defaultRowHeight="14.5" x14ac:dyDescent="0.35"/>
  <cols>
    <col min="1" max="1" width="10" customWidth="1"/>
    <col min="2" max="2" width="6.1796875" customWidth="1"/>
    <col min="3" max="3" width="13.453125" customWidth="1"/>
    <col min="4" max="4" width="47.1796875" customWidth="1"/>
    <col min="5" max="5" width="71.6328125" customWidth="1"/>
    <col min="6" max="6" width="11" customWidth="1"/>
    <col min="7" max="7" width="13.1796875" customWidth="1"/>
    <col min="8" max="8" width="11" customWidth="1"/>
    <col min="9" max="9" width="12" customWidth="1"/>
  </cols>
  <sheetData>
    <row r="1" spans="1:9" ht="60" customHeight="1" x14ac:dyDescent="0.6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ht="15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ht="31.5" customHeight="1" x14ac:dyDescent="0.3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spans="1:9" ht="61.5" customHeight="1" x14ac:dyDescent="0.35">
      <c r="A5" s="7">
        <v>1</v>
      </c>
      <c r="B5" s="7" t="s">
        <v>11</v>
      </c>
      <c r="C5" s="8" t="s">
        <v>12</v>
      </c>
      <c r="D5" s="8" t="s">
        <v>13</v>
      </c>
      <c r="E5" s="8" t="s">
        <v>14</v>
      </c>
      <c r="F5" s="9" t="s">
        <v>15</v>
      </c>
      <c r="G5" s="7" t="s">
        <v>16</v>
      </c>
      <c r="H5" s="7">
        <v>3</v>
      </c>
      <c r="I5" s="7" t="s">
        <v>17</v>
      </c>
    </row>
    <row r="6" spans="1:9" ht="75.75" customHeight="1" x14ac:dyDescent="0.35">
      <c r="A6" s="7">
        <v>2</v>
      </c>
      <c r="B6" s="7" t="s">
        <v>18</v>
      </c>
      <c r="C6" s="8" t="s">
        <v>19</v>
      </c>
      <c r="D6" s="8" t="s">
        <v>20</v>
      </c>
      <c r="E6" s="8" t="s">
        <v>21</v>
      </c>
      <c r="F6" s="9" t="s">
        <v>15</v>
      </c>
      <c r="G6" s="7" t="s">
        <v>16</v>
      </c>
      <c r="H6" s="7">
        <v>5</v>
      </c>
      <c r="I6" s="7" t="s">
        <v>22</v>
      </c>
    </row>
    <row r="7" spans="1:9" ht="61.5" customHeight="1" x14ac:dyDescent="0.35">
      <c r="A7" s="7">
        <v>3</v>
      </c>
      <c r="B7" s="7" t="s">
        <v>23</v>
      </c>
      <c r="C7" s="8" t="s">
        <v>24</v>
      </c>
      <c r="D7" s="8" t="s">
        <v>25</v>
      </c>
      <c r="E7" s="8" t="s">
        <v>26</v>
      </c>
      <c r="F7" s="9" t="s">
        <v>15</v>
      </c>
      <c r="G7" s="7" t="s">
        <v>27</v>
      </c>
      <c r="H7" s="7">
        <v>3</v>
      </c>
      <c r="I7" s="7" t="s">
        <v>22</v>
      </c>
    </row>
    <row r="8" spans="1:9" ht="61.5" customHeight="1" x14ac:dyDescent="0.35">
      <c r="A8" s="7">
        <v>4</v>
      </c>
      <c r="B8" s="7" t="s">
        <v>28</v>
      </c>
      <c r="C8" s="8" t="s">
        <v>29</v>
      </c>
      <c r="D8" s="8" t="s">
        <v>30</v>
      </c>
      <c r="E8" s="8" t="s">
        <v>31</v>
      </c>
      <c r="F8" s="9" t="s">
        <v>15</v>
      </c>
      <c r="G8" s="7" t="s">
        <v>32</v>
      </c>
      <c r="H8" s="7">
        <v>5</v>
      </c>
      <c r="I8" s="7" t="s">
        <v>22</v>
      </c>
    </row>
    <row r="9" spans="1:9" ht="61.5" customHeight="1" x14ac:dyDescent="0.35">
      <c r="A9" s="7">
        <v>5</v>
      </c>
      <c r="B9" s="7" t="s">
        <v>33</v>
      </c>
      <c r="C9" s="8" t="s">
        <v>34</v>
      </c>
      <c r="D9" s="8" t="s">
        <v>35</v>
      </c>
      <c r="E9" s="8" t="s">
        <v>36</v>
      </c>
      <c r="F9" s="9" t="s">
        <v>15</v>
      </c>
      <c r="G9" s="7" t="s">
        <v>32</v>
      </c>
      <c r="H9" s="7">
        <v>5</v>
      </c>
      <c r="I9" s="7" t="s">
        <v>22</v>
      </c>
    </row>
    <row r="10" spans="1:9" ht="61.5" customHeight="1" x14ac:dyDescent="0.35">
      <c r="A10" s="7">
        <v>6</v>
      </c>
      <c r="B10" s="7" t="s">
        <v>37</v>
      </c>
      <c r="C10" s="8" t="s">
        <v>34</v>
      </c>
      <c r="D10" s="8" t="s">
        <v>38</v>
      </c>
      <c r="E10" s="8" t="s">
        <v>39</v>
      </c>
      <c r="F10" s="9" t="s">
        <v>15</v>
      </c>
      <c r="G10" s="7" t="s">
        <v>32</v>
      </c>
      <c r="H10" s="7">
        <v>5</v>
      </c>
      <c r="I10" s="7" t="s">
        <v>40</v>
      </c>
    </row>
    <row r="11" spans="1:9" ht="61.5" customHeight="1" x14ac:dyDescent="0.35">
      <c r="A11" s="7">
        <v>7</v>
      </c>
      <c r="B11" s="7" t="s">
        <v>41</v>
      </c>
      <c r="C11" s="8" t="s">
        <v>42</v>
      </c>
      <c r="D11" s="8" t="s">
        <v>43</v>
      </c>
      <c r="E11" s="8" t="s">
        <v>44</v>
      </c>
      <c r="F11" s="9" t="s">
        <v>15</v>
      </c>
      <c r="G11" s="7" t="s">
        <v>32</v>
      </c>
      <c r="H11" s="7">
        <v>3</v>
      </c>
      <c r="I11" s="7" t="s">
        <v>40</v>
      </c>
    </row>
    <row r="12" spans="1:9" ht="61.5" customHeight="1" x14ac:dyDescent="0.35">
      <c r="A12" s="7">
        <v>8</v>
      </c>
      <c r="B12" s="7" t="s">
        <v>45</v>
      </c>
      <c r="C12" s="8" t="s">
        <v>46</v>
      </c>
      <c r="D12" s="8" t="s">
        <v>47</v>
      </c>
      <c r="E12" s="8" t="s">
        <v>48</v>
      </c>
      <c r="F12" s="9" t="s">
        <v>15</v>
      </c>
      <c r="G12" s="7" t="s">
        <v>49</v>
      </c>
      <c r="H12" s="7">
        <v>2</v>
      </c>
      <c r="I12" s="7" t="s">
        <v>40</v>
      </c>
    </row>
    <row r="13" spans="1:9" ht="61.5" customHeight="1" x14ac:dyDescent="0.35">
      <c r="A13" s="7">
        <v>9</v>
      </c>
      <c r="B13" s="7" t="s">
        <v>50</v>
      </c>
      <c r="C13" s="8" t="s">
        <v>46</v>
      </c>
      <c r="D13" s="8" t="s">
        <v>51</v>
      </c>
      <c r="E13" s="8" t="s">
        <v>52</v>
      </c>
      <c r="F13" s="9" t="s">
        <v>15</v>
      </c>
      <c r="G13" s="7" t="s">
        <v>49</v>
      </c>
      <c r="H13" s="7">
        <v>5</v>
      </c>
      <c r="I13" s="7" t="s">
        <v>40</v>
      </c>
    </row>
    <row r="14" spans="1:9" ht="61.5" customHeight="1" x14ac:dyDescent="0.35">
      <c r="A14" s="7">
        <v>10</v>
      </c>
      <c r="B14" s="7" t="s">
        <v>53</v>
      </c>
      <c r="C14" s="8" t="s">
        <v>54</v>
      </c>
      <c r="D14" s="8" t="s">
        <v>55</v>
      </c>
      <c r="E14" s="8" t="s">
        <v>56</v>
      </c>
      <c r="F14" s="9" t="s">
        <v>15</v>
      </c>
      <c r="G14" s="7" t="s">
        <v>27</v>
      </c>
      <c r="H14" s="7">
        <v>8</v>
      </c>
      <c r="I14" s="7" t="s">
        <v>57</v>
      </c>
    </row>
    <row r="15" spans="1:9" ht="61.5" customHeight="1" x14ac:dyDescent="0.35">
      <c r="A15" s="7">
        <v>11</v>
      </c>
      <c r="B15" s="7" t="s">
        <v>58</v>
      </c>
      <c r="C15" s="8" t="s">
        <v>54</v>
      </c>
      <c r="D15" s="8" t="s">
        <v>59</v>
      </c>
      <c r="E15" s="8" t="s">
        <v>60</v>
      </c>
      <c r="F15" s="9" t="s">
        <v>15</v>
      </c>
      <c r="G15" s="7" t="s">
        <v>27</v>
      </c>
      <c r="H15" s="7">
        <v>5</v>
      </c>
      <c r="I15" s="7" t="s">
        <v>57</v>
      </c>
    </row>
    <row r="16" spans="1:9" ht="61.5" customHeight="1" x14ac:dyDescent="0.35">
      <c r="A16" s="7">
        <v>12</v>
      </c>
      <c r="B16" s="7" t="s">
        <v>61</v>
      </c>
      <c r="C16" s="8" t="s">
        <v>54</v>
      </c>
      <c r="D16" s="8" t="s">
        <v>62</v>
      </c>
      <c r="E16" s="8" t="s">
        <v>63</v>
      </c>
      <c r="F16" s="9" t="s">
        <v>15</v>
      </c>
      <c r="G16" s="7" t="s">
        <v>27</v>
      </c>
      <c r="H16" s="7">
        <v>5</v>
      </c>
      <c r="I16" s="7" t="s">
        <v>57</v>
      </c>
    </row>
    <row r="17" spans="1:9" ht="61.5" customHeight="1" x14ac:dyDescent="0.35">
      <c r="A17" s="7">
        <v>13</v>
      </c>
      <c r="B17" s="7" t="s">
        <v>64</v>
      </c>
      <c r="C17" s="8" t="s">
        <v>34</v>
      </c>
      <c r="D17" s="8" t="s">
        <v>65</v>
      </c>
      <c r="E17" s="8" t="s">
        <v>66</v>
      </c>
      <c r="F17" s="10" t="s">
        <v>67</v>
      </c>
      <c r="G17" s="7" t="s">
        <v>32</v>
      </c>
      <c r="H17" s="7">
        <v>5</v>
      </c>
      <c r="I17" s="7" t="s">
        <v>40</v>
      </c>
    </row>
    <row r="18" spans="1:9" ht="75.75" customHeight="1" x14ac:dyDescent="0.35">
      <c r="A18" s="7">
        <v>14</v>
      </c>
      <c r="B18" s="7" t="s">
        <v>68</v>
      </c>
      <c r="C18" s="8" t="s">
        <v>69</v>
      </c>
      <c r="D18" s="8" t="s">
        <v>70</v>
      </c>
      <c r="E18" s="8" t="s">
        <v>71</v>
      </c>
      <c r="F18" s="10" t="s">
        <v>67</v>
      </c>
      <c r="G18" s="7" t="s">
        <v>32</v>
      </c>
      <c r="H18" s="7">
        <v>5</v>
      </c>
      <c r="I18" s="7" t="s">
        <v>57</v>
      </c>
    </row>
    <row r="19" spans="1:9" ht="61.5" customHeight="1" x14ac:dyDescent="0.35">
      <c r="A19" s="7">
        <v>15</v>
      </c>
      <c r="B19" s="7" t="s">
        <v>72</v>
      </c>
      <c r="C19" s="8" t="s">
        <v>54</v>
      </c>
      <c r="D19" s="8" t="s">
        <v>73</v>
      </c>
      <c r="E19" s="8" t="s">
        <v>74</v>
      </c>
      <c r="F19" s="10" t="s">
        <v>67</v>
      </c>
      <c r="G19" s="7" t="s">
        <v>27</v>
      </c>
      <c r="H19" s="7">
        <v>3</v>
      </c>
      <c r="I19" s="7" t="s">
        <v>75</v>
      </c>
    </row>
    <row r="20" spans="1:9" ht="61.5" customHeight="1" x14ac:dyDescent="0.35">
      <c r="A20" s="7">
        <v>16</v>
      </c>
      <c r="B20" s="7" t="s">
        <v>76</v>
      </c>
      <c r="C20" s="8" t="s">
        <v>77</v>
      </c>
      <c r="D20" s="8" t="s">
        <v>78</v>
      </c>
      <c r="E20" s="8" t="s">
        <v>79</v>
      </c>
      <c r="F20" s="10" t="s">
        <v>67</v>
      </c>
      <c r="G20" s="7" t="s">
        <v>80</v>
      </c>
      <c r="H20" s="7">
        <v>8</v>
      </c>
      <c r="I20" s="7" t="s">
        <v>75</v>
      </c>
    </row>
    <row r="21" spans="1:9" ht="61.5" customHeight="1" x14ac:dyDescent="0.35">
      <c r="A21" s="7">
        <v>17</v>
      </c>
      <c r="B21" s="7" t="s">
        <v>81</v>
      </c>
      <c r="C21" s="8" t="s">
        <v>82</v>
      </c>
      <c r="D21" s="8" t="s">
        <v>83</v>
      </c>
      <c r="E21" s="8" t="s">
        <v>84</v>
      </c>
      <c r="F21" s="11" t="s">
        <v>85</v>
      </c>
      <c r="G21" s="7" t="s">
        <v>86</v>
      </c>
      <c r="H21" s="7">
        <v>5</v>
      </c>
      <c r="I21" s="7" t="s">
        <v>75</v>
      </c>
    </row>
    <row r="22" spans="1:9" ht="61.5" customHeight="1" x14ac:dyDescent="0.35">
      <c r="A22" s="7">
        <v>18</v>
      </c>
      <c r="B22" s="7" t="s">
        <v>87</v>
      </c>
      <c r="C22" s="8" t="s">
        <v>29</v>
      </c>
      <c r="D22" s="8" t="s">
        <v>88</v>
      </c>
      <c r="E22" s="8" t="s">
        <v>89</v>
      </c>
      <c r="F22" s="11" t="s">
        <v>85</v>
      </c>
      <c r="G22" s="7" t="s">
        <v>86</v>
      </c>
      <c r="H22" s="7">
        <v>3</v>
      </c>
      <c r="I22" s="7" t="s">
        <v>75</v>
      </c>
    </row>
    <row r="23" spans="1:9" ht="61.5" customHeight="1" x14ac:dyDescent="0.35">
      <c r="A23" s="7">
        <v>19</v>
      </c>
      <c r="B23" s="7" t="s">
        <v>90</v>
      </c>
      <c r="C23" s="8" t="s">
        <v>82</v>
      </c>
      <c r="D23" s="8" t="s">
        <v>91</v>
      </c>
      <c r="E23" s="8" t="s">
        <v>92</v>
      </c>
      <c r="F23" s="11" t="s">
        <v>85</v>
      </c>
      <c r="G23" s="7" t="s">
        <v>86</v>
      </c>
      <c r="H23" s="7">
        <v>3</v>
      </c>
      <c r="I23" s="7" t="s">
        <v>75</v>
      </c>
    </row>
    <row r="24" spans="1:9" ht="15" customHeight="1" x14ac:dyDescent="0.35">
      <c r="G24" s="12" t="s">
        <v>93</v>
      </c>
      <c r="H24" s="13">
        <f>SUM(H5:H23)</f>
        <v>86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="67" zoomScaleNormal="67" workbookViewId="0">
      <pane ySplit="4" topLeftCell="A5" activePane="bottomLeft" state="frozen"/>
      <selection pane="bottomLeft" activeCell="A4" sqref="A4:C7"/>
    </sheetView>
  </sheetViews>
  <sheetFormatPr baseColWidth="10" defaultColWidth="8.6328125" defaultRowHeight="14.5" x14ac:dyDescent="0.35"/>
  <cols>
    <col min="1" max="1" width="9" customWidth="1"/>
    <col min="2" max="2" width="16" customWidth="1"/>
    <col min="3" max="3" width="80" customWidth="1"/>
    <col min="4" max="4" width="17.26953125" customWidth="1"/>
    <col min="5" max="5" width="12.6328125" customWidth="1"/>
    <col min="6" max="6" width="11" customWidth="1"/>
  </cols>
  <sheetData>
    <row r="1" spans="1:6" ht="36.75" customHeight="1" x14ac:dyDescent="0.6">
      <c r="A1" s="5" t="s">
        <v>94</v>
      </c>
      <c r="B1" s="5"/>
      <c r="C1" s="5"/>
      <c r="D1" s="5"/>
      <c r="E1" s="5"/>
      <c r="F1" s="5"/>
    </row>
    <row r="2" spans="1:6" ht="14.25" customHeight="1" x14ac:dyDescent="0.35">
      <c r="A2" s="3" t="s">
        <v>95</v>
      </c>
      <c r="B2" s="3"/>
      <c r="C2" s="3"/>
      <c r="D2" s="3"/>
      <c r="E2" s="3"/>
      <c r="F2" s="3"/>
    </row>
    <row r="4" spans="1:6" ht="31.5" customHeight="1" x14ac:dyDescent="0.35">
      <c r="A4" s="14" t="s">
        <v>3</v>
      </c>
      <c r="B4" s="15" t="s">
        <v>4</v>
      </c>
      <c r="C4" s="15" t="s">
        <v>96</v>
      </c>
      <c r="D4" s="15" t="s">
        <v>97</v>
      </c>
      <c r="E4" s="15" t="s">
        <v>7</v>
      </c>
      <c r="F4" s="15" t="s">
        <v>98</v>
      </c>
    </row>
    <row r="5" spans="1:6" ht="31.5" customHeight="1" x14ac:dyDescent="0.35">
      <c r="A5" s="7" t="s">
        <v>99</v>
      </c>
      <c r="B5" s="8" t="str">
        <f>INDEX('Product Backlog'!$C$5:$C$23,MATCH(D5,'Product Backlog'!$B$5:$B$23,0))</f>
        <v>Gestión de productos</v>
      </c>
      <c r="C5" s="8" t="s">
        <v>100</v>
      </c>
      <c r="D5" s="7" t="s">
        <v>28</v>
      </c>
      <c r="E5" s="7" t="str">
        <f>INDEX('Product Backlog'!$F$5:$F$23,MATCH(D5,'Product Backlog'!$B$5:$B$23,0))</f>
        <v>Alta</v>
      </c>
      <c r="F5" s="7" t="str">
        <f>INDEX('Product Backlog'!$I$5:$I$23,MATCH(D5,'Product Backlog'!$B$5:$B$23,0))</f>
        <v>Sprint 2</v>
      </c>
    </row>
    <row r="6" spans="1:6" ht="31.5" customHeight="1" x14ac:dyDescent="0.35">
      <c r="A6" s="7" t="s">
        <v>101</v>
      </c>
      <c r="B6" s="8" t="str">
        <f>INDEX('Product Backlog'!$C$5:$C$23,MATCH(D6,'Product Backlog'!$B$5:$B$23,0))</f>
        <v>Movimientos de stock</v>
      </c>
      <c r="C6" s="8" t="s">
        <v>102</v>
      </c>
      <c r="D6" s="7" t="s">
        <v>33</v>
      </c>
      <c r="E6" s="7" t="str">
        <f>INDEX('Product Backlog'!$F$5:$F$23,MATCH(D6,'Product Backlog'!$B$5:$B$23,0))</f>
        <v>Alta</v>
      </c>
      <c r="F6" s="7" t="str">
        <f>INDEX('Product Backlog'!$I$5:$I$23,MATCH(D6,'Product Backlog'!$B$5:$B$23,0))</f>
        <v>Sprint 2</v>
      </c>
    </row>
    <row r="7" spans="1:6" ht="31.5" customHeight="1" x14ac:dyDescent="0.35">
      <c r="A7" s="7" t="s">
        <v>103</v>
      </c>
      <c r="B7" s="8" t="str">
        <f>INDEX('Product Backlog'!$C$5:$C$23,MATCH(D7,'Product Backlog'!$B$5:$B$23,0))</f>
        <v>Movimientos de stock</v>
      </c>
      <c r="C7" s="8" t="s">
        <v>104</v>
      </c>
      <c r="D7" s="7" t="s">
        <v>37</v>
      </c>
      <c r="E7" s="7" t="str">
        <f>INDEX('Product Backlog'!$F$5:$F$23,MATCH(D7,'Product Backlog'!$B$5:$B$23,0))</f>
        <v>Alta</v>
      </c>
      <c r="F7" s="7" t="str">
        <f>INDEX('Product Backlog'!$I$5:$I$23,MATCH(D7,'Product Backlog'!$B$5:$B$23,0))</f>
        <v>Sprint 3</v>
      </c>
    </row>
    <row r="8" spans="1:6" ht="31.5" customHeight="1" x14ac:dyDescent="0.35">
      <c r="A8" s="7" t="s">
        <v>105</v>
      </c>
      <c r="B8" s="8" t="str">
        <f>INDEX('Product Backlog'!$C$5:$C$23,MATCH(D8,'Product Backlog'!$B$5:$B$23,0))</f>
        <v>Consulta de stock</v>
      </c>
      <c r="C8" s="8" t="s">
        <v>106</v>
      </c>
      <c r="D8" s="7" t="s">
        <v>41</v>
      </c>
      <c r="E8" s="7" t="str">
        <f>INDEX('Product Backlog'!$F$5:$F$23,MATCH(D8,'Product Backlog'!$B$5:$B$23,0))</f>
        <v>Alta</v>
      </c>
      <c r="F8" s="7" t="str">
        <f>INDEX('Product Backlog'!$I$5:$I$23,MATCH(D8,'Product Backlog'!$B$5:$B$23,0))</f>
        <v>Sprint 3</v>
      </c>
    </row>
    <row r="9" spans="1:6" ht="31.5" customHeight="1" x14ac:dyDescent="0.35">
      <c r="A9" s="7" t="s">
        <v>107</v>
      </c>
      <c r="B9" s="8" t="str">
        <f>INDEX('Product Backlog'!$C$5:$C$23,MATCH(D9,'Product Backlog'!$B$5:$B$23,0))</f>
        <v>Control de stock</v>
      </c>
      <c r="C9" s="8" t="s">
        <v>108</v>
      </c>
      <c r="D9" s="7" t="s">
        <v>45</v>
      </c>
      <c r="E9" s="7" t="str">
        <f>INDEX('Product Backlog'!$F$5:$F$23,MATCH(D9,'Product Backlog'!$B$5:$B$23,0))</f>
        <v>Alta</v>
      </c>
      <c r="F9" s="7" t="str">
        <f>INDEX('Product Backlog'!$I$5:$I$23,MATCH(D9,'Product Backlog'!$B$5:$B$23,0))</f>
        <v>Sprint 3</v>
      </c>
    </row>
    <row r="10" spans="1:6" ht="31.5" customHeight="1" x14ac:dyDescent="0.35">
      <c r="A10" s="7" t="s">
        <v>109</v>
      </c>
      <c r="B10" s="8" t="str">
        <f>INDEX('Product Backlog'!$C$5:$C$23,MATCH(D10,'Product Backlog'!$B$5:$B$23,0))</f>
        <v>Control de stock</v>
      </c>
      <c r="C10" s="8" t="s">
        <v>110</v>
      </c>
      <c r="D10" s="7" t="s">
        <v>50</v>
      </c>
      <c r="E10" s="7" t="str">
        <f>INDEX('Product Backlog'!$F$5:$F$23,MATCH(D10,'Product Backlog'!$B$5:$B$23,0))</f>
        <v>Alta</v>
      </c>
      <c r="F10" s="7" t="str">
        <f>INDEX('Product Backlog'!$I$5:$I$23,MATCH(D10,'Product Backlog'!$B$5:$B$23,0))</f>
        <v>Sprint 3</v>
      </c>
    </row>
    <row r="11" spans="1:6" ht="31.5" customHeight="1" x14ac:dyDescent="0.35">
      <c r="A11" s="7" t="s">
        <v>111</v>
      </c>
      <c r="B11" s="8" t="str">
        <f>INDEX('Product Backlog'!$C$5:$C$23,MATCH(D11,'Product Backlog'!$B$5:$B$23,0))</f>
        <v>Gestión de pedidos</v>
      </c>
      <c r="C11" s="8" t="s">
        <v>112</v>
      </c>
      <c r="D11" s="7" t="s">
        <v>53</v>
      </c>
      <c r="E11" s="7" t="str">
        <f>INDEX('Product Backlog'!$F$5:$F$23,MATCH(D11,'Product Backlog'!$B$5:$B$23,0))</f>
        <v>Alta</v>
      </c>
      <c r="F11" s="7" t="str">
        <f>INDEX('Product Backlog'!$I$5:$I$23,MATCH(D11,'Product Backlog'!$B$5:$B$23,0))</f>
        <v>Sprint 4</v>
      </c>
    </row>
    <row r="12" spans="1:6" ht="31.5" customHeight="1" x14ac:dyDescent="0.35">
      <c r="A12" s="7" t="s">
        <v>113</v>
      </c>
      <c r="B12" s="8" t="str">
        <f>INDEX('Product Backlog'!$C$5:$C$23,MATCH(D12,'Product Backlog'!$B$5:$B$23,0))</f>
        <v>Gestión de pedidos</v>
      </c>
      <c r="C12" s="8" t="s">
        <v>114</v>
      </c>
      <c r="D12" s="7" t="s">
        <v>58</v>
      </c>
      <c r="E12" s="7" t="str">
        <f>INDEX('Product Backlog'!$F$5:$F$23,MATCH(D12,'Product Backlog'!$B$5:$B$23,0))</f>
        <v>Alta</v>
      </c>
      <c r="F12" s="7" t="str">
        <f>INDEX('Product Backlog'!$I$5:$I$23,MATCH(D12,'Product Backlog'!$B$5:$B$23,0))</f>
        <v>Sprint 4</v>
      </c>
    </row>
    <row r="13" spans="1:6" ht="31.5" customHeight="1" x14ac:dyDescent="0.35">
      <c r="A13" s="7" t="s">
        <v>115</v>
      </c>
      <c r="B13" s="8" t="str">
        <f>INDEX('Product Backlog'!$C$5:$C$23,MATCH(D13,'Product Backlog'!$B$5:$B$23,0))</f>
        <v>Gestión de pedidos</v>
      </c>
      <c r="C13" s="8" t="s">
        <v>116</v>
      </c>
      <c r="D13" s="7" t="s">
        <v>61</v>
      </c>
      <c r="E13" s="7" t="str">
        <f>INDEX('Product Backlog'!$F$5:$F$23,MATCH(D13,'Product Backlog'!$B$5:$B$23,0))</f>
        <v>Alta</v>
      </c>
      <c r="F13" s="7" t="str">
        <f>INDEX('Product Backlog'!$I$5:$I$23,MATCH(D13,'Product Backlog'!$B$5:$B$23,0))</f>
        <v>Sprint 4</v>
      </c>
    </row>
    <row r="14" spans="1:6" ht="48" customHeight="1" x14ac:dyDescent="0.35">
      <c r="A14" s="7" t="s">
        <v>117</v>
      </c>
      <c r="B14" s="8" t="str">
        <f>INDEX('Product Backlog'!$C$5:$C$23,MATCH(D14,'Product Backlog'!$B$5:$B$23,0))</f>
        <v>Seguridad</v>
      </c>
      <c r="C14" s="8" t="s">
        <v>118</v>
      </c>
      <c r="D14" s="7" t="s">
        <v>18</v>
      </c>
      <c r="E14" s="7" t="str">
        <f>INDEX('Product Backlog'!$F$5:$F$23,MATCH(D14,'Product Backlog'!$B$5:$B$23,0))</f>
        <v>Alta</v>
      </c>
      <c r="F14" s="7" t="str">
        <f>INDEX('Product Backlog'!$I$5:$I$23,MATCH(D14,'Product Backlog'!$B$5:$B$23,0))</f>
        <v>Sprint 2</v>
      </c>
    </row>
    <row r="15" spans="1:6" ht="48" customHeight="1" x14ac:dyDescent="0.35">
      <c r="A15" s="7" t="s">
        <v>119</v>
      </c>
      <c r="B15" s="8" t="str">
        <f>INDEX('Product Backlog'!$C$5:$C$23,MATCH(D15,'Product Backlog'!$B$5:$B$23,0))</f>
        <v>Gestión de proveedores</v>
      </c>
      <c r="C15" s="8" t="s">
        <v>120</v>
      </c>
      <c r="D15" s="7" t="s">
        <v>23</v>
      </c>
      <c r="E15" s="7" t="str">
        <f>INDEX('Product Backlog'!$F$5:$F$23,MATCH(D15,'Product Backlog'!$B$5:$B$23,0))</f>
        <v>Alta</v>
      </c>
      <c r="F15" s="7" t="str">
        <f>INDEX('Product Backlog'!$I$5:$I$23,MATCH(D15,'Product Backlog'!$B$5:$B$23,0))</f>
        <v>Sprint 2</v>
      </c>
    </row>
    <row r="16" spans="1:6" ht="31.5" customHeight="1" x14ac:dyDescent="0.35">
      <c r="A16" s="7" t="s">
        <v>121</v>
      </c>
      <c r="B16" s="8" t="str">
        <f>INDEX('Product Backlog'!$C$5:$C$23,MATCH(D16,'Product Backlog'!$B$5:$B$23,0))</f>
        <v>Movimientos de stock</v>
      </c>
      <c r="C16" s="8" t="s">
        <v>122</v>
      </c>
      <c r="D16" s="7" t="s">
        <v>64</v>
      </c>
      <c r="E16" s="7" t="str">
        <f>INDEX('Product Backlog'!$F$5:$F$23,MATCH(D16,'Product Backlog'!$B$5:$B$23,0))</f>
        <v>Media</v>
      </c>
      <c r="F16" s="7" t="str">
        <f>INDEX('Product Backlog'!$I$5:$I$23,MATCH(D16,'Product Backlog'!$B$5:$B$23,0))</f>
        <v>Sprint 3</v>
      </c>
    </row>
    <row r="17" spans="1:6" ht="31.5" customHeight="1" x14ac:dyDescent="0.35">
      <c r="A17" s="7" t="s">
        <v>123</v>
      </c>
      <c r="B17" s="8" t="str">
        <f>INDEX('Product Backlog'!$C$5:$C$23,MATCH(D17,'Product Backlog'!$B$5:$B$23,0))</f>
        <v>Gestión de pedidos</v>
      </c>
      <c r="C17" s="8" t="s">
        <v>124</v>
      </c>
      <c r="D17" s="7" t="s">
        <v>72</v>
      </c>
      <c r="E17" s="7" t="str">
        <f>INDEX('Product Backlog'!$F$5:$F$23,MATCH(D17,'Product Backlog'!$B$5:$B$23,0))</f>
        <v>Media</v>
      </c>
      <c r="F17" s="7" t="str">
        <f>INDEX('Product Backlog'!$I$5:$I$23,MATCH(D17,'Product Backlog'!$B$5:$B$23,0))</f>
        <v>Sprint 5</v>
      </c>
    </row>
    <row r="18" spans="1:6" ht="31.5" customHeight="1" x14ac:dyDescent="0.35">
      <c r="A18" s="7" t="s">
        <v>125</v>
      </c>
      <c r="B18" s="8" t="str">
        <f>INDEX('Product Backlog'!$C$5:$C$23,MATCH(D18,'Product Backlog'!$B$5:$B$23,0))</f>
        <v>Tablero Kanban</v>
      </c>
      <c r="C18" s="8" t="s">
        <v>126</v>
      </c>
      <c r="D18" s="7" t="s">
        <v>76</v>
      </c>
      <c r="E18" s="7" t="str">
        <f>INDEX('Product Backlog'!$F$5:$F$23,MATCH(D18,'Product Backlog'!$B$5:$B$23,0))</f>
        <v>Media</v>
      </c>
      <c r="F18" s="7" t="str">
        <f>INDEX('Product Backlog'!$I$5:$I$23,MATCH(D18,'Product Backlog'!$B$5:$B$23,0))</f>
        <v>Sprint 5</v>
      </c>
    </row>
    <row r="19" spans="1:6" ht="31.5" customHeight="1" x14ac:dyDescent="0.35">
      <c r="A19" s="7" t="s">
        <v>127</v>
      </c>
      <c r="B19" s="8" t="str">
        <f>INDEX('Product Backlog'!$C$5:$C$23,MATCH(D19,'Product Backlog'!$B$5:$B$23,0))</f>
        <v>Reportes</v>
      </c>
      <c r="C19" s="8" t="s">
        <v>128</v>
      </c>
      <c r="D19" s="7" t="s">
        <v>81</v>
      </c>
      <c r="E19" s="7" t="str">
        <f>INDEX('Product Backlog'!$F$5:$F$23,MATCH(D19,'Product Backlog'!$B$5:$B$23,0))</f>
        <v>Baja</v>
      </c>
      <c r="F19" s="7" t="str">
        <f>INDEX('Product Backlog'!$I$5:$I$23,MATCH(D19,'Product Backlog'!$B$5:$B$23,0))</f>
        <v>Sprint 5</v>
      </c>
    </row>
    <row r="20" spans="1:6" ht="31.5" customHeight="1" x14ac:dyDescent="0.35">
      <c r="A20" s="7" t="s">
        <v>129</v>
      </c>
      <c r="B20" s="8" t="str">
        <f>INDEX('Product Backlog'!$C$5:$C$23,MATCH(D20,'Product Backlog'!$B$5:$B$23,0))</f>
        <v>Gestión de productos</v>
      </c>
      <c r="C20" s="8" t="s">
        <v>130</v>
      </c>
      <c r="D20" s="7" t="s">
        <v>87</v>
      </c>
      <c r="E20" s="7" t="str">
        <f>INDEX('Product Backlog'!$F$5:$F$23,MATCH(D20,'Product Backlog'!$B$5:$B$23,0))</f>
        <v>Baja</v>
      </c>
      <c r="F20" s="7" t="str">
        <f>INDEX('Product Backlog'!$I$5:$I$23,MATCH(D20,'Product Backlog'!$B$5:$B$23,0))</f>
        <v>Sprint 5</v>
      </c>
    </row>
    <row r="21" spans="1:6" ht="31.5" customHeight="1" x14ac:dyDescent="0.35">
      <c r="A21" s="7" t="s">
        <v>131</v>
      </c>
      <c r="B21" s="8" t="str">
        <f>INDEX('Product Backlog'!$C$5:$C$23,MATCH(D21,'Product Backlog'!$B$5:$B$23,0))</f>
        <v>Reportes</v>
      </c>
      <c r="C21" s="8" t="s">
        <v>132</v>
      </c>
      <c r="D21" s="7" t="s">
        <v>90</v>
      </c>
      <c r="E21" s="7" t="str">
        <f>INDEX('Product Backlog'!$F$5:$F$23,MATCH(D21,'Product Backlog'!$B$5:$B$23,0))</f>
        <v>Baja</v>
      </c>
      <c r="F21" s="7" t="str">
        <f>INDEX('Product Backlog'!$I$5:$I$23,MATCH(D21,'Product Backlog'!$B$5:$B$23,0))</f>
        <v>Sprint 5</v>
      </c>
    </row>
    <row r="22" spans="1:6" ht="48" customHeight="1" x14ac:dyDescent="0.35">
      <c r="A22" s="7" t="s">
        <v>133</v>
      </c>
      <c r="B22" s="8" t="str">
        <f>INDEX('Product Backlog'!$C$5:$C$23,MATCH(D22,'Product Backlog'!$B$5:$B$23,0))</f>
        <v>Notas de venta</v>
      </c>
      <c r="C22" s="8" t="s">
        <v>134</v>
      </c>
      <c r="D22" s="7" t="s">
        <v>68</v>
      </c>
      <c r="E22" s="7" t="str">
        <f>INDEX('Product Backlog'!$F$5:$F$23,MATCH(D22,'Product Backlog'!$B$5:$B$23,0))</f>
        <v>Media</v>
      </c>
      <c r="F22" s="7" t="str">
        <f>INDEX('Product Backlog'!$I$5:$I$23,MATCH(D22,'Product Backlog'!$B$5:$B$23,0))</f>
        <v>Sprint 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80" zoomScaleNormal="80" workbookViewId="0">
      <pane ySplit="4" topLeftCell="A5" activePane="bottomLeft" state="frozen"/>
      <selection pane="bottomLeft" sqref="A1:G1"/>
    </sheetView>
  </sheetViews>
  <sheetFormatPr baseColWidth="10" defaultColWidth="8.6328125" defaultRowHeight="14.5" x14ac:dyDescent="0.35"/>
  <cols>
    <col min="1" max="1" width="10" customWidth="1"/>
    <col min="2" max="2" width="22" customWidth="1"/>
    <col min="3" max="3" width="18" customWidth="1"/>
    <col min="4" max="5" width="48" customWidth="1"/>
    <col min="6" max="6" width="11.81640625" customWidth="1"/>
    <col min="7" max="7" width="20" customWidth="1"/>
  </cols>
  <sheetData>
    <row r="1" spans="1:7" ht="31.5" customHeight="1" x14ac:dyDescent="0.6">
      <c r="A1" s="5" t="s">
        <v>135</v>
      </c>
      <c r="B1" s="5"/>
      <c r="C1" s="5"/>
      <c r="D1" s="5"/>
      <c r="E1" s="5"/>
      <c r="F1" s="5"/>
      <c r="G1" s="5"/>
    </row>
    <row r="2" spans="1:7" ht="14.25" customHeight="1" x14ac:dyDescent="0.35">
      <c r="A2" s="3" t="s">
        <v>136</v>
      </c>
      <c r="B2" s="3"/>
      <c r="C2" s="3"/>
      <c r="D2" s="3"/>
      <c r="E2" s="3"/>
      <c r="F2" s="3"/>
      <c r="G2" s="3"/>
    </row>
    <row r="4" spans="1:7" ht="47.25" customHeight="1" x14ac:dyDescent="0.35">
      <c r="A4" s="15" t="s">
        <v>3</v>
      </c>
      <c r="B4" s="15" t="s">
        <v>4</v>
      </c>
      <c r="C4" s="15" t="s">
        <v>137</v>
      </c>
      <c r="D4" s="15" t="s">
        <v>96</v>
      </c>
      <c r="E4" s="15" t="s">
        <v>138</v>
      </c>
      <c r="F4" s="15" t="s">
        <v>7</v>
      </c>
      <c r="G4" s="15" t="s">
        <v>139</v>
      </c>
    </row>
    <row r="5" spans="1:7" s="16" customFormat="1" ht="33.75" customHeight="1" x14ac:dyDescent="0.35">
      <c r="A5" s="7" t="s">
        <v>140</v>
      </c>
      <c r="B5" s="7" t="s">
        <v>42</v>
      </c>
      <c r="C5" s="7" t="s">
        <v>141</v>
      </c>
      <c r="D5" s="8" t="s">
        <v>142</v>
      </c>
      <c r="E5" s="8" t="s">
        <v>143</v>
      </c>
      <c r="F5" s="7" t="s">
        <v>15</v>
      </c>
      <c r="G5" s="7" t="s">
        <v>144</v>
      </c>
    </row>
    <row r="6" spans="1:7" s="16" customFormat="1" ht="33.75" customHeight="1" x14ac:dyDescent="0.35">
      <c r="A6" s="7" t="s">
        <v>145</v>
      </c>
      <c r="B6" s="7" t="s">
        <v>34</v>
      </c>
      <c r="C6" s="7" t="s">
        <v>141</v>
      </c>
      <c r="D6" s="8" t="s">
        <v>146</v>
      </c>
      <c r="E6" s="8" t="s">
        <v>147</v>
      </c>
      <c r="F6" s="7" t="s">
        <v>15</v>
      </c>
      <c r="G6" s="7" t="s">
        <v>148</v>
      </c>
    </row>
    <row r="7" spans="1:7" s="16" customFormat="1" ht="33.75" customHeight="1" x14ac:dyDescent="0.35">
      <c r="A7" s="7" t="s">
        <v>149</v>
      </c>
      <c r="B7" s="7" t="s">
        <v>19</v>
      </c>
      <c r="C7" s="7" t="s">
        <v>19</v>
      </c>
      <c r="D7" s="8" t="s">
        <v>150</v>
      </c>
      <c r="E7" s="8" t="s">
        <v>151</v>
      </c>
      <c r="F7" s="7" t="s">
        <v>15</v>
      </c>
      <c r="G7" s="7" t="s">
        <v>18</v>
      </c>
    </row>
    <row r="8" spans="1:7" s="16" customFormat="1" ht="33.75" customHeight="1" x14ac:dyDescent="0.35">
      <c r="A8" s="7" t="s">
        <v>152</v>
      </c>
      <c r="B8" s="7" t="s">
        <v>19</v>
      </c>
      <c r="C8" s="7" t="s">
        <v>19</v>
      </c>
      <c r="D8" s="8" t="s">
        <v>153</v>
      </c>
      <c r="E8" s="8" t="s">
        <v>154</v>
      </c>
      <c r="F8" s="7" t="s">
        <v>15</v>
      </c>
      <c r="G8" s="7" t="s">
        <v>18</v>
      </c>
    </row>
    <row r="9" spans="1:7" s="16" customFormat="1" ht="33.75" customHeight="1" x14ac:dyDescent="0.35">
      <c r="A9" s="7" t="s">
        <v>155</v>
      </c>
      <c r="B9" s="7" t="s">
        <v>19</v>
      </c>
      <c r="C9" s="7" t="s">
        <v>19</v>
      </c>
      <c r="D9" s="8" t="s">
        <v>156</v>
      </c>
      <c r="E9" s="8" t="s">
        <v>157</v>
      </c>
      <c r="F9" s="7" t="s">
        <v>67</v>
      </c>
      <c r="G9" s="7" t="s">
        <v>18</v>
      </c>
    </row>
    <row r="10" spans="1:7" s="16" customFormat="1" ht="33.75" customHeight="1" x14ac:dyDescent="0.35">
      <c r="A10" s="7" t="s">
        <v>158</v>
      </c>
      <c r="B10" s="7" t="s">
        <v>34</v>
      </c>
      <c r="C10" s="7" t="s">
        <v>159</v>
      </c>
      <c r="D10" s="8" t="s">
        <v>160</v>
      </c>
      <c r="E10" s="8" t="s">
        <v>161</v>
      </c>
      <c r="F10" s="7" t="s">
        <v>15</v>
      </c>
      <c r="G10" s="7" t="s">
        <v>162</v>
      </c>
    </row>
    <row r="11" spans="1:7" s="16" customFormat="1" ht="33.75" customHeight="1" x14ac:dyDescent="0.35">
      <c r="A11" s="7" t="s">
        <v>163</v>
      </c>
      <c r="B11" s="7" t="s">
        <v>164</v>
      </c>
      <c r="C11" s="7" t="s">
        <v>159</v>
      </c>
      <c r="D11" s="8" t="s">
        <v>165</v>
      </c>
      <c r="E11" s="8" t="s">
        <v>166</v>
      </c>
      <c r="F11" s="7" t="s">
        <v>67</v>
      </c>
      <c r="G11" s="7" t="s">
        <v>167</v>
      </c>
    </row>
    <row r="12" spans="1:7" s="16" customFormat="1" ht="33.75" customHeight="1" x14ac:dyDescent="0.35">
      <c r="A12" s="7" t="s">
        <v>168</v>
      </c>
      <c r="B12" s="7" t="s">
        <v>164</v>
      </c>
      <c r="C12" s="7" t="s">
        <v>169</v>
      </c>
      <c r="D12" s="8" t="s">
        <v>170</v>
      </c>
      <c r="E12" s="8" t="s">
        <v>171</v>
      </c>
      <c r="F12" s="7" t="s">
        <v>15</v>
      </c>
      <c r="G12" s="7" t="s">
        <v>167</v>
      </c>
    </row>
    <row r="13" spans="1:7" s="16" customFormat="1" ht="33.75" customHeight="1" x14ac:dyDescent="0.35">
      <c r="A13" s="7" t="s">
        <v>172</v>
      </c>
      <c r="B13" s="7" t="s">
        <v>164</v>
      </c>
      <c r="C13" s="7" t="s">
        <v>169</v>
      </c>
      <c r="D13" s="8" t="s">
        <v>173</v>
      </c>
      <c r="E13" s="8" t="s">
        <v>174</v>
      </c>
      <c r="F13" s="7" t="s">
        <v>67</v>
      </c>
      <c r="G13" s="7" t="s">
        <v>167</v>
      </c>
    </row>
    <row r="14" spans="1:7" s="16" customFormat="1" ht="33.75" customHeight="1" x14ac:dyDescent="0.35">
      <c r="A14" s="7" t="s">
        <v>175</v>
      </c>
      <c r="B14" s="7" t="s">
        <v>164</v>
      </c>
      <c r="C14" s="7" t="s">
        <v>176</v>
      </c>
      <c r="D14" s="8" t="s">
        <v>177</v>
      </c>
      <c r="E14" s="8" t="s">
        <v>178</v>
      </c>
      <c r="F14" s="7" t="s">
        <v>67</v>
      </c>
      <c r="G14" s="7" t="s">
        <v>167</v>
      </c>
    </row>
    <row r="15" spans="1:7" s="16" customFormat="1" ht="33.75" customHeight="1" x14ac:dyDescent="0.35">
      <c r="A15" s="7" t="s">
        <v>179</v>
      </c>
      <c r="B15" s="7" t="s">
        <v>164</v>
      </c>
      <c r="C15" s="7" t="s">
        <v>180</v>
      </c>
      <c r="D15" s="8" t="s">
        <v>181</v>
      </c>
      <c r="E15" s="8" t="s">
        <v>182</v>
      </c>
      <c r="F15" s="7" t="s">
        <v>15</v>
      </c>
      <c r="G15" s="7" t="s">
        <v>167</v>
      </c>
    </row>
    <row r="16" spans="1:7" s="16" customFormat="1" ht="33.75" customHeight="1" x14ac:dyDescent="0.35">
      <c r="A16" s="7" t="s">
        <v>183</v>
      </c>
      <c r="B16" s="7" t="s">
        <v>34</v>
      </c>
      <c r="C16" s="7" t="s">
        <v>184</v>
      </c>
      <c r="D16" s="8" t="s">
        <v>185</v>
      </c>
      <c r="E16" s="8" t="s">
        <v>186</v>
      </c>
      <c r="F16" s="7" t="s">
        <v>15</v>
      </c>
      <c r="G16" s="7" t="s">
        <v>187</v>
      </c>
    </row>
    <row r="17" spans="1:7" s="16" customFormat="1" ht="33.75" customHeight="1" x14ac:dyDescent="0.35">
      <c r="A17" s="7" t="s">
        <v>188</v>
      </c>
      <c r="B17" s="7" t="s">
        <v>164</v>
      </c>
      <c r="C17" s="7" t="s">
        <v>189</v>
      </c>
      <c r="D17" s="8" t="s">
        <v>190</v>
      </c>
      <c r="E17" s="8" t="s">
        <v>191</v>
      </c>
      <c r="F17" s="7" t="s">
        <v>67</v>
      </c>
      <c r="G17" s="7" t="s">
        <v>167</v>
      </c>
    </row>
    <row r="18" spans="1:7" s="16" customFormat="1" ht="33.75" customHeight="1" x14ac:dyDescent="0.35">
      <c r="A18" s="7" t="s">
        <v>192</v>
      </c>
      <c r="B18" s="7" t="s">
        <v>12</v>
      </c>
      <c r="C18" s="7" t="s">
        <v>193</v>
      </c>
      <c r="D18" s="8" t="s">
        <v>194</v>
      </c>
      <c r="E18" s="8" t="s">
        <v>195</v>
      </c>
      <c r="F18" s="7" t="s">
        <v>67</v>
      </c>
      <c r="G18" s="7" t="s">
        <v>11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zoomScale="90" zoomScaleNormal="90" workbookViewId="0">
      <pane ySplit="4" topLeftCell="A5" activePane="bottomLeft" state="frozen"/>
      <selection pane="bottomLeft" sqref="A1:E1"/>
    </sheetView>
  </sheetViews>
  <sheetFormatPr baseColWidth="10" defaultColWidth="8.6328125" defaultRowHeight="14.5" x14ac:dyDescent="0.35"/>
  <cols>
    <col min="1" max="1" width="26" customWidth="1"/>
    <col min="2" max="2" width="52" customWidth="1"/>
    <col min="3" max="3" width="16" customWidth="1"/>
    <col min="4" max="5" width="15" customWidth="1"/>
  </cols>
  <sheetData>
    <row r="1" spans="1:5" ht="40" customHeight="1" x14ac:dyDescent="0.6">
      <c r="A1" s="5" t="s">
        <v>196</v>
      </c>
      <c r="B1" s="5"/>
      <c r="C1" s="5"/>
      <c r="D1" s="5"/>
      <c r="E1" s="5"/>
    </row>
    <row r="2" spans="1:5" ht="15" customHeight="1" x14ac:dyDescent="0.35">
      <c r="A2" s="3" t="s">
        <v>197</v>
      </c>
      <c r="B2" s="3"/>
      <c r="C2" s="3"/>
      <c r="D2" s="3"/>
      <c r="E2" s="3"/>
    </row>
    <row r="4" spans="1:5" ht="31.5" customHeight="1" x14ac:dyDescent="0.35">
      <c r="A4" s="25" t="s">
        <v>4</v>
      </c>
      <c r="B4" s="26" t="s">
        <v>198</v>
      </c>
      <c r="C4" s="25" t="s">
        <v>97</v>
      </c>
      <c r="D4" s="25" t="s">
        <v>199</v>
      </c>
      <c r="E4" s="27" t="s">
        <v>200</v>
      </c>
    </row>
    <row r="5" spans="1:5" ht="30" customHeight="1" x14ac:dyDescent="0.35">
      <c r="A5" s="23" t="str">
        <f>INDEX('Product Backlog'!$C$5:$C$23,MATCH(C5,'Product Backlog'!$B$5:$B$23,0))</f>
        <v>Seguridad</v>
      </c>
      <c r="B5" s="22" t="s">
        <v>201</v>
      </c>
      <c r="C5" s="18" t="s">
        <v>18</v>
      </c>
      <c r="D5" s="39" t="s">
        <v>202</v>
      </c>
      <c r="E5" s="17" t="s">
        <v>202</v>
      </c>
    </row>
    <row r="6" spans="1:5" ht="30" customHeight="1" x14ac:dyDescent="0.35">
      <c r="A6" s="8" t="str">
        <f>INDEX('Product Backlog'!$C$5:$C$23,MATCH(C6,'Product Backlog'!$B$5:$B$23,0))</f>
        <v>Seguridad</v>
      </c>
      <c r="B6" s="37" t="s">
        <v>203</v>
      </c>
      <c r="C6" s="7" t="s">
        <v>18</v>
      </c>
      <c r="D6" s="40" t="s">
        <v>202</v>
      </c>
      <c r="E6" s="33" t="s">
        <v>204</v>
      </c>
    </row>
    <row r="7" spans="1:5" ht="30" customHeight="1" x14ac:dyDescent="0.35">
      <c r="A7" s="36" t="str">
        <f>INDEX('Product Backlog'!$C$5:$C$23,MATCH(C7,'Product Backlog'!$B$5:$B$23,0))</f>
        <v>Gestión de productos</v>
      </c>
      <c r="B7" s="38" t="s">
        <v>205</v>
      </c>
      <c r="C7" s="30" t="s">
        <v>28</v>
      </c>
      <c r="D7" s="41" t="s">
        <v>202</v>
      </c>
      <c r="E7" s="34" t="s">
        <v>202</v>
      </c>
    </row>
    <row r="8" spans="1:5" ht="30" customHeight="1" x14ac:dyDescent="0.35">
      <c r="A8" s="8" t="str">
        <f>INDEX('Product Backlog'!$C$5:$C$23,MATCH(C8,'Product Backlog'!$B$5:$B$23,0))</f>
        <v>Gestión de productos</v>
      </c>
      <c r="B8" s="37" t="s">
        <v>206</v>
      </c>
      <c r="C8" s="7" t="s">
        <v>87</v>
      </c>
      <c r="D8" s="40" t="s">
        <v>202</v>
      </c>
      <c r="E8" s="7" t="s">
        <v>202</v>
      </c>
    </row>
    <row r="9" spans="1:5" ht="30" customHeight="1" x14ac:dyDescent="0.35">
      <c r="A9" s="36" t="str">
        <f>INDEX('Product Backlog'!$C$5:$C$23,MATCH(C9,'Product Backlog'!$B$5:$B$23,0))</f>
        <v>Movimientos de stock</v>
      </c>
      <c r="B9" s="31" t="s">
        <v>207</v>
      </c>
      <c r="C9" s="7" t="s">
        <v>33</v>
      </c>
      <c r="D9" s="40" t="s">
        <v>202</v>
      </c>
      <c r="E9" s="20" t="s">
        <v>202</v>
      </c>
    </row>
    <row r="10" spans="1:5" ht="30" customHeight="1" x14ac:dyDescent="0.35">
      <c r="A10" s="35" t="str">
        <f>INDEX('Product Backlog'!$C$5:$C$23,MATCH(C10,'Product Backlog'!$B$5:$B$23,0))</f>
        <v>Movimientos de stock</v>
      </c>
      <c r="B10" s="38" t="s">
        <v>208</v>
      </c>
      <c r="C10" s="30" t="s">
        <v>37</v>
      </c>
      <c r="D10" s="41" t="s">
        <v>202</v>
      </c>
      <c r="E10" s="19" t="s">
        <v>202</v>
      </c>
    </row>
    <row r="11" spans="1:5" ht="30" customHeight="1" x14ac:dyDescent="0.35">
      <c r="A11" s="31" t="str">
        <f>INDEX('Product Backlog'!$C$5:$C$23,MATCH(C11,'Product Backlog'!$B$5:$B$23,0))</f>
        <v>Consulta de stock</v>
      </c>
      <c r="B11" s="8" t="s">
        <v>209</v>
      </c>
      <c r="C11" s="7" t="s">
        <v>41</v>
      </c>
      <c r="D11" s="40" t="s">
        <v>202</v>
      </c>
      <c r="E11" s="7" t="s">
        <v>202</v>
      </c>
    </row>
    <row r="12" spans="1:5" ht="30" customHeight="1" x14ac:dyDescent="0.35">
      <c r="A12" s="32" t="str">
        <f>INDEX('Product Backlog'!$C$5:$C$23,MATCH(C12,'Product Backlog'!$B$5:$B$23,0))</f>
        <v>Control de stock</v>
      </c>
      <c r="B12" s="36" t="s">
        <v>210</v>
      </c>
      <c r="C12" s="30" t="s">
        <v>45</v>
      </c>
      <c r="D12" s="41" t="s">
        <v>202</v>
      </c>
      <c r="E12" s="30" t="s">
        <v>202</v>
      </c>
    </row>
    <row r="13" spans="1:5" ht="30" customHeight="1" x14ac:dyDescent="0.35">
      <c r="A13" s="31" t="str">
        <f>INDEX('Product Backlog'!$C$5:$C$23,MATCH(C13,'Product Backlog'!$B$5:$B$23,0))</f>
        <v>Control de stock</v>
      </c>
      <c r="B13" s="31" t="s">
        <v>211</v>
      </c>
      <c r="C13" s="7" t="s">
        <v>50</v>
      </c>
      <c r="D13" s="40" t="s">
        <v>202</v>
      </c>
      <c r="E13" s="7" t="s">
        <v>202</v>
      </c>
    </row>
    <row r="14" spans="1:5" ht="30" customHeight="1" x14ac:dyDescent="0.35">
      <c r="A14" s="28" t="str">
        <f>INDEX('Product Backlog'!$C$5:$C$23,MATCH(C14,'Product Backlog'!$B$5:$B$23,0))</f>
        <v>Movimientos de stock</v>
      </c>
      <c r="B14" s="31" t="s">
        <v>212</v>
      </c>
      <c r="C14" s="7" t="s">
        <v>64</v>
      </c>
      <c r="D14" s="40" t="s">
        <v>202</v>
      </c>
      <c r="E14" s="7" t="s">
        <v>202</v>
      </c>
    </row>
    <row r="15" spans="1:5" ht="30" customHeight="1" x14ac:dyDescent="0.35">
      <c r="A15" s="28" t="str">
        <f>INDEX('Product Backlog'!$C$5:$C$23,MATCH(C15,'Product Backlog'!$B$5:$B$23,0))</f>
        <v>Gestión de proveedores</v>
      </c>
      <c r="B15" s="32" t="s">
        <v>213</v>
      </c>
      <c r="C15" s="30" t="s">
        <v>23</v>
      </c>
      <c r="D15" s="42" t="s">
        <v>202</v>
      </c>
      <c r="E15" s="20" t="s">
        <v>202</v>
      </c>
    </row>
    <row r="16" spans="1:5" ht="30" customHeight="1" x14ac:dyDescent="0.35">
      <c r="A16" s="29" t="str">
        <f>INDEX('Product Backlog'!$C$5:$C$23,MATCH(C16,'Product Backlog'!$B$5:$B$23,0))</f>
        <v>Gestión de pedidos</v>
      </c>
      <c r="B16" s="29" t="s">
        <v>214</v>
      </c>
      <c r="C16" s="19" t="s">
        <v>53</v>
      </c>
      <c r="D16" s="40" t="s">
        <v>202</v>
      </c>
      <c r="E16" s="19" t="s">
        <v>202</v>
      </c>
    </row>
    <row r="17" spans="1:5" ht="30" customHeight="1" x14ac:dyDescent="0.35">
      <c r="A17" s="31" t="str">
        <f>INDEX('Product Backlog'!$C$5:$C$23,MATCH(C17,'Product Backlog'!$B$5:$B$23,0))</f>
        <v>Gestión de pedidos</v>
      </c>
      <c r="B17" s="31" t="s">
        <v>215</v>
      </c>
      <c r="C17" s="7" t="s">
        <v>58</v>
      </c>
      <c r="D17" s="43" t="s">
        <v>202</v>
      </c>
      <c r="E17" s="7" t="s">
        <v>202</v>
      </c>
    </row>
    <row r="18" spans="1:5" ht="30" customHeight="1" x14ac:dyDescent="0.35">
      <c r="A18" s="31" t="str">
        <f>INDEX('Product Backlog'!$C$5:$C$23,MATCH(C18,'Product Backlog'!$B$5:$B$23,0))</f>
        <v>Gestión de pedidos</v>
      </c>
      <c r="B18" s="31" t="s">
        <v>216</v>
      </c>
      <c r="C18" s="7" t="s">
        <v>61</v>
      </c>
      <c r="D18" s="43" t="s">
        <v>202</v>
      </c>
      <c r="E18" s="7" t="s">
        <v>202</v>
      </c>
    </row>
    <row r="19" spans="1:5" ht="30" customHeight="1" x14ac:dyDescent="0.35">
      <c r="A19" s="31" t="str">
        <f>INDEX('Product Backlog'!$C$5:$C$23,MATCH(C19,'Product Backlog'!$B$5:$B$23,0))</f>
        <v>Gestión de pedidos</v>
      </c>
      <c r="B19" s="31" t="s">
        <v>217</v>
      </c>
      <c r="C19" s="7" t="s">
        <v>72</v>
      </c>
      <c r="D19" s="43" t="s">
        <v>202</v>
      </c>
      <c r="E19" s="7" t="s">
        <v>202</v>
      </c>
    </row>
    <row r="20" spans="1:5" ht="30" customHeight="1" x14ac:dyDescent="0.35">
      <c r="A20" s="28" t="str">
        <f>INDEX('Product Backlog'!$C$5:$C$23,MATCH(C20,'Product Backlog'!$B$5:$B$23,0))</f>
        <v>Tablero Kanban</v>
      </c>
      <c r="B20" s="28" t="s">
        <v>218</v>
      </c>
      <c r="C20" s="20" t="s">
        <v>76</v>
      </c>
      <c r="D20" s="44" t="s">
        <v>202</v>
      </c>
      <c r="E20" s="21" t="s">
        <v>202</v>
      </c>
    </row>
    <row r="21" spans="1:5" ht="30" customHeight="1" x14ac:dyDescent="0.35">
      <c r="A21" s="31" t="str">
        <f>INDEX('Product Backlog'!$C$5:$C$23,MATCH(C21,'Product Backlog'!$B$5:$B$23,0))</f>
        <v>Notas de venta</v>
      </c>
      <c r="B21" s="31" t="s">
        <v>219</v>
      </c>
      <c r="C21" s="7" t="s">
        <v>68</v>
      </c>
      <c r="D21" s="43" t="s">
        <v>202</v>
      </c>
      <c r="E21" s="33" t="s">
        <v>202</v>
      </c>
    </row>
    <row r="22" spans="1:5" ht="30" customHeight="1" x14ac:dyDescent="0.35">
      <c r="A22" s="28" t="str">
        <f>INDEX('Product Backlog'!$C$5:$C$23,MATCH(C22,'Product Backlog'!$B$5:$B$23,0))</f>
        <v>Reportes</v>
      </c>
      <c r="B22" s="28" t="s">
        <v>220</v>
      </c>
      <c r="C22" s="20" t="s">
        <v>81</v>
      </c>
      <c r="D22" s="44" t="s">
        <v>202</v>
      </c>
      <c r="E22" s="46" t="s">
        <v>204</v>
      </c>
    </row>
    <row r="23" spans="1:5" ht="30" customHeight="1" x14ac:dyDescent="0.35">
      <c r="A23" s="28" t="str">
        <f>INDEX('Product Backlog'!$C$5:$C$23,MATCH(C23,'Product Backlog'!$B$5:$B$23,0))</f>
        <v>Reportes</v>
      </c>
      <c r="B23" s="28" t="s">
        <v>221</v>
      </c>
      <c r="C23" s="20" t="s">
        <v>90</v>
      </c>
      <c r="D23" s="45" t="s">
        <v>202</v>
      </c>
      <c r="E23" s="47" t="s">
        <v>204</v>
      </c>
    </row>
    <row r="25" spans="1:5" ht="15" customHeight="1" x14ac:dyDescent="0.35">
      <c r="A25" s="2" t="s">
        <v>222</v>
      </c>
      <c r="B25" s="2"/>
      <c r="C25" s="2"/>
      <c r="D25" s="2"/>
      <c r="E25" s="2"/>
    </row>
    <row r="26" spans="1:5" ht="31.5" customHeight="1" x14ac:dyDescent="0.35">
      <c r="A26" s="55" t="s">
        <v>199</v>
      </c>
      <c r="B26" s="56" t="s">
        <v>223</v>
      </c>
      <c r="C26" s="50"/>
      <c r="D26" s="50"/>
      <c r="E26" s="51"/>
    </row>
    <row r="27" spans="1:5" ht="31.5" customHeight="1" x14ac:dyDescent="0.35">
      <c r="A27" s="55" t="s">
        <v>200</v>
      </c>
      <c r="B27" s="52" t="s">
        <v>224</v>
      </c>
      <c r="C27" s="53"/>
      <c r="D27" s="53"/>
      <c r="E27" s="54"/>
    </row>
  </sheetData>
  <mergeCells count="5">
    <mergeCell ref="A1:E1"/>
    <mergeCell ref="A2:E2"/>
    <mergeCell ref="A25:E25"/>
    <mergeCell ref="B26:E26"/>
    <mergeCell ref="B27:E27"/>
  </mergeCells>
  <conditionalFormatting sqref="D5:E23">
    <cfRule type="cellIs" dxfId="1" priority="2" operator="equal">
      <formula>"Sí"</formula>
    </cfRule>
    <cfRule type="cellIs" dxfId="0" priority="3" operator="equal">
      <formula>"No"</formula>
    </cfRule>
  </conditionalFormatting>
  <dataValidations count="1">
    <dataValidation type="list" sqref="D5:E23" xr:uid="{00000000-0002-0000-03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zoomScale="90" zoomScaleNormal="56" workbookViewId="0">
      <pane ySplit="4" topLeftCell="A5" activePane="bottomLeft" state="frozen"/>
      <selection pane="bottomLeft" activeCell="C66" sqref="C66"/>
    </sheetView>
  </sheetViews>
  <sheetFormatPr baseColWidth="10" defaultColWidth="8.6328125" defaultRowHeight="14.5" x14ac:dyDescent="0.35"/>
  <cols>
    <col min="1" max="1" width="18" customWidth="1"/>
    <col min="2" max="2" width="24" customWidth="1"/>
    <col min="3" max="3" width="16" customWidth="1"/>
    <col min="4" max="4" width="30" customWidth="1"/>
    <col min="5" max="5" width="12" customWidth="1"/>
    <col min="6" max="6" width="58" customWidth="1"/>
    <col min="7" max="7" width="16" customWidth="1"/>
    <col min="8" max="8" width="12" customWidth="1"/>
  </cols>
  <sheetData>
    <row r="1" spans="1:8" ht="36" customHeight="1" x14ac:dyDescent="0.65">
      <c r="A1" s="58" t="s">
        <v>225</v>
      </c>
      <c r="B1" s="58"/>
      <c r="C1" s="58"/>
      <c r="D1" s="58"/>
      <c r="E1" s="58"/>
      <c r="F1" s="58"/>
      <c r="G1" s="58"/>
      <c r="H1" s="58"/>
    </row>
    <row r="2" spans="1:8" ht="25.5" customHeight="1" x14ac:dyDescent="0.35">
      <c r="A2" s="1" t="s">
        <v>226</v>
      </c>
      <c r="B2" s="1"/>
      <c r="C2" s="1"/>
      <c r="D2" s="1"/>
      <c r="E2" s="1"/>
      <c r="F2" s="1"/>
      <c r="G2" s="1"/>
      <c r="H2" s="1"/>
    </row>
    <row r="4" spans="1:8" ht="31.5" customHeight="1" x14ac:dyDescent="0.35">
      <c r="A4" s="121" t="s">
        <v>227</v>
      </c>
      <c r="B4" s="25" t="s">
        <v>228</v>
      </c>
      <c r="C4" s="150" t="s">
        <v>229</v>
      </c>
      <c r="D4" s="25" t="s">
        <v>230</v>
      </c>
      <c r="E4" s="64" t="s">
        <v>231</v>
      </c>
      <c r="F4" s="147" t="s">
        <v>232</v>
      </c>
      <c r="G4" s="57" t="s">
        <v>97</v>
      </c>
      <c r="H4" s="147" t="s">
        <v>233</v>
      </c>
    </row>
    <row r="5" spans="1:8" ht="30" customHeight="1" x14ac:dyDescent="0.35">
      <c r="A5" s="116" t="s">
        <v>234</v>
      </c>
      <c r="B5" s="90" t="s">
        <v>235</v>
      </c>
      <c r="C5" s="89" t="s">
        <v>236</v>
      </c>
      <c r="D5" s="90" t="s">
        <v>237</v>
      </c>
      <c r="E5" s="89" t="s">
        <v>202</v>
      </c>
      <c r="F5" s="100" t="s">
        <v>238</v>
      </c>
      <c r="G5" s="89" t="s">
        <v>18</v>
      </c>
      <c r="H5" s="99" t="s">
        <v>239</v>
      </c>
    </row>
    <row r="6" spans="1:8" ht="30" customHeight="1" x14ac:dyDescent="0.35">
      <c r="A6" s="117"/>
      <c r="B6" s="113" t="s">
        <v>240</v>
      </c>
      <c r="C6" s="112" t="s">
        <v>241</v>
      </c>
      <c r="D6" s="113"/>
      <c r="E6" s="112" t="s">
        <v>202</v>
      </c>
      <c r="F6" s="113" t="s">
        <v>242</v>
      </c>
      <c r="G6" s="112" t="s">
        <v>18</v>
      </c>
      <c r="H6" s="110" t="s">
        <v>239</v>
      </c>
    </row>
    <row r="7" spans="1:8" ht="30" customHeight="1" x14ac:dyDescent="0.35">
      <c r="A7" s="118"/>
      <c r="B7" s="106" t="s">
        <v>243</v>
      </c>
      <c r="C7" s="105" t="s">
        <v>241</v>
      </c>
      <c r="D7" s="106"/>
      <c r="E7" s="105" t="s">
        <v>202</v>
      </c>
      <c r="F7" s="106" t="s">
        <v>244</v>
      </c>
      <c r="G7" s="105" t="s">
        <v>18</v>
      </c>
      <c r="H7" s="103" t="s">
        <v>239</v>
      </c>
    </row>
    <row r="8" spans="1:8" ht="30" customHeight="1" x14ac:dyDescent="0.35">
      <c r="A8" s="117"/>
      <c r="B8" s="113" t="s">
        <v>245</v>
      </c>
      <c r="C8" s="112" t="s">
        <v>246</v>
      </c>
      <c r="D8" s="113" t="s">
        <v>247</v>
      </c>
      <c r="E8" s="112" t="s">
        <v>202</v>
      </c>
      <c r="F8" s="113" t="s">
        <v>248</v>
      </c>
      <c r="G8" s="112" t="s">
        <v>18</v>
      </c>
      <c r="H8" s="110" t="s">
        <v>239</v>
      </c>
    </row>
    <row r="9" spans="1:8" ht="30" customHeight="1" x14ac:dyDescent="0.35">
      <c r="A9" s="118"/>
      <c r="B9" s="106" t="s">
        <v>249</v>
      </c>
      <c r="C9" s="105" t="s">
        <v>250</v>
      </c>
      <c r="D9" s="106"/>
      <c r="E9" s="105" t="s">
        <v>202</v>
      </c>
      <c r="F9" s="106" t="s">
        <v>251</v>
      </c>
      <c r="G9" s="105" t="s">
        <v>18</v>
      </c>
      <c r="H9" s="103" t="s">
        <v>239</v>
      </c>
    </row>
    <row r="10" spans="1:8" ht="30" customHeight="1" x14ac:dyDescent="0.35">
      <c r="A10" s="117"/>
      <c r="B10" s="113" t="s">
        <v>252</v>
      </c>
      <c r="C10" s="112" t="s">
        <v>253</v>
      </c>
      <c r="D10" s="113"/>
      <c r="E10" s="112" t="s">
        <v>202</v>
      </c>
      <c r="F10" s="113" t="s">
        <v>254</v>
      </c>
      <c r="G10" s="112" t="s">
        <v>18</v>
      </c>
      <c r="H10" s="110" t="s">
        <v>239</v>
      </c>
    </row>
    <row r="11" spans="1:8" ht="30" customHeight="1" x14ac:dyDescent="0.35">
      <c r="A11" s="144"/>
      <c r="B11" s="148" t="s">
        <v>255</v>
      </c>
      <c r="C11" s="105" t="s">
        <v>256</v>
      </c>
      <c r="D11" s="145"/>
      <c r="E11" s="105" t="s">
        <v>202</v>
      </c>
      <c r="F11" s="148" t="s">
        <v>257</v>
      </c>
      <c r="G11" s="105" t="s">
        <v>18</v>
      </c>
      <c r="H11" s="149" t="s">
        <v>239</v>
      </c>
    </row>
    <row r="12" spans="1:8" ht="30" customHeight="1" x14ac:dyDescent="0.35">
      <c r="A12" s="140" t="s">
        <v>258</v>
      </c>
      <c r="B12" s="130" t="s">
        <v>259</v>
      </c>
      <c r="C12" s="81" t="s">
        <v>236</v>
      </c>
      <c r="D12" s="134" t="s">
        <v>237</v>
      </c>
      <c r="E12" s="81" t="s">
        <v>202</v>
      </c>
      <c r="F12" s="79" t="s">
        <v>238</v>
      </c>
      <c r="G12" s="81" t="s">
        <v>28</v>
      </c>
      <c r="H12" s="81" t="s">
        <v>239</v>
      </c>
    </row>
    <row r="13" spans="1:8" ht="30" customHeight="1" x14ac:dyDescent="0.35">
      <c r="A13" s="141"/>
      <c r="B13" s="78" t="s">
        <v>260</v>
      </c>
      <c r="C13" s="75" t="s">
        <v>261</v>
      </c>
      <c r="D13" s="86" t="s">
        <v>247</v>
      </c>
      <c r="E13" s="75" t="s">
        <v>202</v>
      </c>
      <c r="F13" s="86" t="s">
        <v>262</v>
      </c>
      <c r="G13" s="75" t="s">
        <v>28</v>
      </c>
      <c r="H13" s="75" t="s">
        <v>239</v>
      </c>
    </row>
    <row r="14" spans="1:8" ht="30" customHeight="1" x14ac:dyDescent="0.35">
      <c r="A14" s="142"/>
      <c r="B14" s="129" t="s">
        <v>240</v>
      </c>
      <c r="C14" s="77" t="s">
        <v>246</v>
      </c>
      <c r="D14" s="79"/>
      <c r="E14" s="77" t="s">
        <v>202</v>
      </c>
      <c r="F14" s="79" t="s">
        <v>263</v>
      </c>
      <c r="G14" s="77" t="s">
        <v>28</v>
      </c>
      <c r="H14" s="77" t="s">
        <v>239</v>
      </c>
    </row>
    <row r="15" spans="1:8" ht="30" customHeight="1" x14ac:dyDescent="0.35">
      <c r="A15" s="141"/>
      <c r="B15" s="78" t="s">
        <v>264</v>
      </c>
      <c r="C15" s="75" t="s">
        <v>250</v>
      </c>
      <c r="D15" s="86"/>
      <c r="E15" s="75" t="s">
        <v>204</v>
      </c>
      <c r="F15" s="86" t="s">
        <v>265</v>
      </c>
      <c r="G15" s="75" t="s">
        <v>28</v>
      </c>
      <c r="H15" s="75" t="s">
        <v>239</v>
      </c>
    </row>
    <row r="16" spans="1:8" ht="30" customHeight="1" x14ac:dyDescent="0.35">
      <c r="A16" s="142"/>
      <c r="B16" s="129" t="s">
        <v>266</v>
      </c>
      <c r="C16" s="77" t="s">
        <v>241</v>
      </c>
      <c r="D16" s="79"/>
      <c r="E16" s="77" t="s">
        <v>202</v>
      </c>
      <c r="F16" s="79" t="s">
        <v>267</v>
      </c>
      <c r="G16" s="77" t="s">
        <v>268</v>
      </c>
      <c r="H16" s="77" t="s">
        <v>239</v>
      </c>
    </row>
    <row r="17" spans="1:8" ht="30" customHeight="1" x14ac:dyDescent="0.35">
      <c r="A17" s="141"/>
      <c r="B17" s="78" t="s">
        <v>269</v>
      </c>
      <c r="C17" s="75" t="s">
        <v>270</v>
      </c>
      <c r="D17" s="86"/>
      <c r="E17" s="75" t="s">
        <v>202</v>
      </c>
      <c r="F17" s="86" t="s">
        <v>271</v>
      </c>
      <c r="G17" s="75" t="s">
        <v>28</v>
      </c>
      <c r="H17" s="75" t="s">
        <v>239</v>
      </c>
    </row>
    <row r="18" spans="1:8" ht="30" customHeight="1" x14ac:dyDescent="0.35">
      <c r="A18" s="142"/>
      <c r="B18" s="129" t="s">
        <v>272</v>
      </c>
      <c r="C18" s="77" t="s">
        <v>236</v>
      </c>
      <c r="D18" s="79"/>
      <c r="E18" s="77" t="s">
        <v>202</v>
      </c>
      <c r="F18" s="79" t="s">
        <v>273</v>
      </c>
      <c r="G18" s="77" t="s">
        <v>274</v>
      </c>
      <c r="H18" s="77" t="s">
        <v>239</v>
      </c>
    </row>
    <row r="19" spans="1:8" ht="30" customHeight="1" x14ac:dyDescent="0.35">
      <c r="A19" s="141"/>
      <c r="B19" s="78" t="s">
        <v>275</v>
      </c>
      <c r="C19" s="75" t="s">
        <v>236</v>
      </c>
      <c r="D19" s="86"/>
      <c r="E19" s="75" t="s">
        <v>202</v>
      </c>
      <c r="F19" s="86" t="s">
        <v>276</v>
      </c>
      <c r="G19" s="75" t="s">
        <v>277</v>
      </c>
      <c r="H19" s="75" t="s">
        <v>239</v>
      </c>
    </row>
    <row r="20" spans="1:8" ht="30" customHeight="1" x14ac:dyDescent="0.35">
      <c r="A20" s="142"/>
      <c r="B20" s="84" t="s">
        <v>278</v>
      </c>
      <c r="C20" s="131" t="s">
        <v>236</v>
      </c>
      <c r="D20" s="79" t="s">
        <v>279</v>
      </c>
      <c r="E20" s="131" t="s">
        <v>204</v>
      </c>
      <c r="F20" s="79" t="s">
        <v>280</v>
      </c>
      <c r="G20" s="77" t="s">
        <v>23</v>
      </c>
      <c r="H20" s="131" t="s">
        <v>239</v>
      </c>
    </row>
    <row r="21" spans="1:8" ht="30" customHeight="1" x14ac:dyDescent="0.35">
      <c r="A21" s="146"/>
      <c r="B21" s="96" t="s">
        <v>255</v>
      </c>
      <c r="C21" s="93" t="s">
        <v>256</v>
      </c>
      <c r="D21" s="92"/>
      <c r="E21" s="93" t="s">
        <v>202</v>
      </c>
      <c r="F21" s="92" t="s">
        <v>281</v>
      </c>
      <c r="G21" s="93" t="s">
        <v>28</v>
      </c>
      <c r="H21" s="97" t="s">
        <v>282</v>
      </c>
    </row>
    <row r="22" spans="1:8" ht="30" customHeight="1" x14ac:dyDescent="0.35">
      <c r="A22" s="118" t="s">
        <v>283</v>
      </c>
      <c r="B22" s="106" t="s">
        <v>278</v>
      </c>
      <c r="C22" s="103" t="s">
        <v>236</v>
      </c>
      <c r="D22" s="102" t="s">
        <v>237</v>
      </c>
      <c r="E22" s="103" t="s">
        <v>202</v>
      </c>
      <c r="F22" s="104" t="s">
        <v>238</v>
      </c>
      <c r="G22" s="105" t="s">
        <v>23</v>
      </c>
      <c r="H22" s="103" t="s">
        <v>239</v>
      </c>
    </row>
    <row r="23" spans="1:8" ht="30" customHeight="1" x14ac:dyDescent="0.35">
      <c r="A23" s="117"/>
      <c r="B23" s="113" t="s">
        <v>240</v>
      </c>
      <c r="C23" s="110" t="s">
        <v>246</v>
      </c>
      <c r="D23" s="109"/>
      <c r="E23" s="110" t="s">
        <v>202</v>
      </c>
      <c r="F23" s="111" t="s">
        <v>284</v>
      </c>
      <c r="G23" s="112" t="s">
        <v>23</v>
      </c>
      <c r="H23" s="110" t="s">
        <v>239</v>
      </c>
    </row>
    <row r="24" spans="1:8" ht="30" customHeight="1" x14ac:dyDescent="0.35">
      <c r="A24" s="118"/>
      <c r="B24" s="106" t="s">
        <v>285</v>
      </c>
      <c r="C24" s="103" t="s">
        <v>286</v>
      </c>
      <c r="D24" s="102" t="s">
        <v>247</v>
      </c>
      <c r="E24" s="103" t="s">
        <v>202</v>
      </c>
      <c r="F24" s="104" t="s">
        <v>287</v>
      </c>
      <c r="G24" s="105" t="s">
        <v>23</v>
      </c>
      <c r="H24" s="103" t="s">
        <v>239</v>
      </c>
    </row>
    <row r="25" spans="1:8" ht="30" customHeight="1" x14ac:dyDescent="0.35">
      <c r="A25" s="117"/>
      <c r="B25" s="113" t="s">
        <v>288</v>
      </c>
      <c r="C25" s="110" t="s">
        <v>253</v>
      </c>
      <c r="D25" s="109"/>
      <c r="E25" s="110" t="s">
        <v>202</v>
      </c>
      <c r="F25" s="111" t="s">
        <v>289</v>
      </c>
      <c r="G25" s="112" t="s">
        <v>23</v>
      </c>
      <c r="H25" s="110" t="s">
        <v>239</v>
      </c>
    </row>
    <row r="26" spans="1:8" ht="30" customHeight="1" x14ac:dyDescent="0.35">
      <c r="A26" s="118"/>
      <c r="B26" s="106" t="s">
        <v>245</v>
      </c>
      <c r="C26" s="103" t="s">
        <v>246</v>
      </c>
      <c r="D26" s="102"/>
      <c r="E26" s="103" t="s">
        <v>204</v>
      </c>
      <c r="F26" s="104" t="s">
        <v>290</v>
      </c>
      <c r="G26" s="105" t="s">
        <v>23</v>
      </c>
      <c r="H26" s="103" t="s">
        <v>239</v>
      </c>
    </row>
    <row r="27" spans="1:8" ht="30" customHeight="1" x14ac:dyDescent="0.35">
      <c r="A27" s="117"/>
      <c r="B27" s="113" t="s">
        <v>291</v>
      </c>
      <c r="C27" s="110" t="s">
        <v>292</v>
      </c>
      <c r="D27" s="109"/>
      <c r="E27" s="110" t="s">
        <v>204</v>
      </c>
      <c r="F27" s="111" t="s">
        <v>293</v>
      </c>
      <c r="G27" s="112" t="s">
        <v>23</v>
      </c>
      <c r="H27" s="110" t="s">
        <v>239</v>
      </c>
    </row>
    <row r="28" spans="1:8" ht="30" customHeight="1" x14ac:dyDescent="0.35">
      <c r="A28" s="118"/>
      <c r="B28" s="106" t="s">
        <v>255</v>
      </c>
      <c r="C28" s="103" t="s">
        <v>256</v>
      </c>
      <c r="D28" s="102"/>
      <c r="E28" s="103" t="s">
        <v>202</v>
      </c>
      <c r="F28" s="104" t="s">
        <v>294</v>
      </c>
      <c r="G28" s="105" t="s">
        <v>23</v>
      </c>
      <c r="H28" s="103" t="s">
        <v>239</v>
      </c>
    </row>
    <row r="29" spans="1:8" ht="36" customHeight="1" x14ac:dyDescent="0.35">
      <c r="A29" s="146" t="s">
        <v>295</v>
      </c>
      <c r="B29" s="96" t="s">
        <v>296</v>
      </c>
      <c r="C29" s="93" t="s">
        <v>236</v>
      </c>
      <c r="D29" s="92" t="s">
        <v>237</v>
      </c>
      <c r="E29" s="93" t="s">
        <v>202</v>
      </c>
      <c r="F29" s="94" t="s">
        <v>297</v>
      </c>
      <c r="G29" s="95" t="s">
        <v>53</v>
      </c>
      <c r="H29" s="93" t="s">
        <v>298</v>
      </c>
    </row>
    <row r="30" spans="1:8" ht="30" customHeight="1" x14ac:dyDescent="0.35">
      <c r="A30" s="141"/>
      <c r="B30" s="78" t="s">
        <v>299</v>
      </c>
      <c r="C30" s="75" t="s">
        <v>300</v>
      </c>
      <c r="D30" s="86"/>
      <c r="E30" s="75" t="s">
        <v>202</v>
      </c>
      <c r="F30" s="80" t="s">
        <v>301</v>
      </c>
      <c r="G30" s="82" t="s">
        <v>53</v>
      </c>
      <c r="H30" s="75" t="s">
        <v>239</v>
      </c>
    </row>
    <row r="31" spans="1:8" ht="36" customHeight="1" x14ac:dyDescent="0.35">
      <c r="A31" s="142"/>
      <c r="B31" s="129" t="s">
        <v>255</v>
      </c>
      <c r="C31" s="77" t="s">
        <v>256</v>
      </c>
      <c r="D31" s="79"/>
      <c r="E31" s="77" t="s">
        <v>202</v>
      </c>
      <c r="F31" s="133" t="s">
        <v>302</v>
      </c>
      <c r="G31" s="143" t="s">
        <v>303</v>
      </c>
      <c r="H31" s="131" t="s">
        <v>239</v>
      </c>
    </row>
    <row r="32" spans="1:8" ht="30" customHeight="1" x14ac:dyDescent="0.35">
      <c r="A32" s="141"/>
      <c r="B32" s="78" t="s">
        <v>304</v>
      </c>
      <c r="C32" s="75" t="s">
        <v>300</v>
      </c>
      <c r="D32" s="86"/>
      <c r="E32" s="75" t="s">
        <v>202</v>
      </c>
      <c r="F32" s="80" t="s">
        <v>305</v>
      </c>
      <c r="G32" s="74" t="s">
        <v>306</v>
      </c>
      <c r="H32" s="74" t="s">
        <v>239</v>
      </c>
    </row>
    <row r="33" spans="1:8" ht="30" customHeight="1" x14ac:dyDescent="0.35">
      <c r="A33" s="142"/>
      <c r="B33" s="129" t="s">
        <v>278</v>
      </c>
      <c r="C33" s="143" t="s">
        <v>236</v>
      </c>
      <c r="D33" s="129" t="s">
        <v>279</v>
      </c>
      <c r="E33" s="77" t="s">
        <v>202</v>
      </c>
      <c r="F33" s="79" t="s">
        <v>307</v>
      </c>
      <c r="G33" s="77" t="s">
        <v>308</v>
      </c>
      <c r="H33" s="77" t="s">
        <v>239</v>
      </c>
    </row>
    <row r="34" spans="1:8" ht="30" customHeight="1" x14ac:dyDescent="0.35">
      <c r="A34" s="141"/>
      <c r="B34" s="78" t="s">
        <v>235</v>
      </c>
      <c r="C34" s="82" t="s">
        <v>236</v>
      </c>
      <c r="D34" s="78" t="s">
        <v>309</v>
      </c>
      <c r="E34" s="75" t="s">
        <v>202</v>
      </c>
      <c r="F34" s="86" t="s">
        <v>310</v>
      </c>
      <c r="G34" s="75" t="s">
        <v>53</v>
      </c>
      <c r="H34" s="75" t="s">
        <v>239</v>
      </c>
    </row>
    <row r="35" spans="1:8" ht="30" customHeight="1" x14ac:dyDescent="0.35">
      <c r="A35" s="118" t="s">
        <v>311</v>
      </c>
      <c r="B35" s="106" t="s">
        <v>312</v>
      </c>
      <c r="C35" s="105" t="s">
        <v>236</v>
      </c>
      <c r="D35" s="106" t="s">
        <v>237</v>
      </c>
      <c r="E35" s="103" t="s">
        <v>202</v>
      </c>
      <c r="F35" s="102" t="s">
        <v>238</v>
      </c>
      <c r="G35" s="103" t="s">
        <v>53</v>
      </c>
      <c r="H35" s="103" t="s">
        <v>239</v>
      </c>
    </row>
    <row r="36" spans="1:8" ht="30" customHeight="1" x14ac:dyDescent="0.35">
      <c r="A36" s="117"/>
      <c r="B36" s="113" t="s">
        <v>296</v>
      </c>
      <c r="C36" s="112" t="s">
        <v>236</v>
      </c>
      <c r="D36" s="113" t="s">
        <v>313</v>
      </c>
      <c r="E36" s="110" t="s">
        <v>202</v>
      </c>
      <c r="F36" s="109" t="s">
        <v>314</v>
      </c>
      <c r="G36" s="110" t="s">
        <v>53</v>
      </c>
      <c r="H36" s="110" t="s">
        <v>239</v>
      </c>
    </row>
    <row r="37" spans="1:8" ht="30" customHeight="1" x14ac:dyDescent="0.35">
      <c r="A37" s="118"/>
      <c r="B37" s="106" t="s">
        <v>259</v>
      </c>
      <c r="C37" s="105" t="s">
        <v>236</v>
      </c>
      <c r="D37" s="106" t="s">
        <v>315</v>
      </c>
      <c r="E37" s="103" t="s">
        <v>202</v>
      </c>
      <c r="F37" s="102" t="s">
        <v>316</v>
      </c>
      <c r="G37" s="103" t="s">
        <v>53</v>
      </c>
      <c r="H37" s="103" t="s">
        <v>239</v>
      </c>
    </row>
    <row r="38" spans="1:8" ht="36" customHeight="1" x14ac:dyDescent="0.35">
      <c r="A38" s="117"/>
      <c r="B38" s="113" t="s">
        <v>317</v>
      </c>
      <c r="C38" s="112" t="s">
        <v>236</v>
      </c>
      <c r="D38" s="113"/>
      <c r="E38" s="110" t="s">
        <v>202</v>
      </c>
      <c r="F38" s="109" t="s">
        <v>318</v>
      </c>
      <c r="G38" s="110" t="s">
        <v>319</v>
      </c>
      <c r="H38" s="110" t="s">
        <v>239</v>
      </c>
    </row>
    <row r="39" spans="1:8" ht="30" customHeight="1" x14ac:dyDescent="0.35">
      <c r="A39" s="139"/>
      <c r="B39" s="102" t="s">
        <v>269</v>
      </c>
      <c r="C39" s="103" t="s">
        <v>270</v>
      </c>
      <c r="D39" s="106"/>
      <c r="E39" s="103" t="s">
        <v>202</v>
      </c>
      <c r="F39" s="104" t="s">
        <v>320</v>
      </c>
      <c r="G39" s="103" t="s">
        <v>53</v>
      </c>
      <c r="H39" s="103" t="s">
        <v>239</v>
      </c>
    </row>
    <row r="40" spans="1:8" ht="30" customHeight="1" x14ac:dyDescent="0.35">
      <c r="A40" s="87" t="s">
        <v>321</v>
      </c>
      <c r="B40" s="86" t="s">
        <v>322</v>
      </c>
      <c r="C40" s="75" t="s">
        <v>236</v>
      </c>
      <c r="D40" s="78" t="s">
        <v>237</v>
      </c>
      <c r="E40" s="75" t="s">
        <v>202</v>
      </c>
      <c r="F40" s="80" t="s">
        <v>238</v>
      </c>
      <c r="G40" s="75" t="s">
        <v>33</v>
      </c>
      <c r="H40" s="75" t="s">
        <v>239</v>
      </c>
    </row>
    <row r="41" spans="1:8" ht="30" customHeight="1" x14ac:dyDescent="0.35">
      <c r="A41" s="137"/>
      <c r="B41" s="79" t="s">
        <v>259</v>
      </c>
      <c r="C41" s="77" t="s">
        <v>236</v>
      </c>
      <c r="D41" s="129" t="s">
        <v>315</v>
      </c>
      <c r="E41" s="77" t="s">
        <v>202</v>
      </c>
      <c r="F41" s="133" t="s">
        <v>323</v>
      </c>
      <c r="G41" s="77" t="s">
        <v>162</v>
      </c>
      <c r="H41" s="131" t="s">
        <v>239</v>
      </c>
    </row>
    <row r="42" spans="1:8" ht="30" customHeight="1" x14ac:dyDescent="0.35">
      <c r="A42" s="136"/>
      <c r="B42" s="135" t="s">
        <v>235</v>
      </c>
      <c r="C42" s="81" t="s">
        <v>236</v>
      </c>
      <c r="D42" s="130" t="s">
        <v>309</v>
      </c>
      <c r="E42" s="81" t="s">
        <v>202</v>
      </c>
      <c r="F42" s="132" t="s">
        <v>324</v>
      </c>
      <c r="G42" s="81" t="s">
        <v>162</v>
      </c>
      <c r="H42" s="83" t="s">
        <v>239</v>
      </c>
    </row>
    <row r="43" spans="1:8" ht="30" customHeight="1" x14ac:dyDescent="0.35">
      <c r="A43" s="87"/>
      <c r="B43" s="86" t="s">
        <v>325</v>
      </c>
      <c r="C43" s="75" t="s">
        <v>256</v>
      </c>
      <c r="D43" s="78"/>
      <c r="E43" s="75" t="s">
        <v>202</v>
      </c>
      <c r="F43" s="80" t="s">
        <v>326</v>
      </c>
      <c r="G43" s="75" t="s">
        <v>162</v>
      </c>
      <c r="H43" s="74" t="s">
        <v>239</v>
      </c>
    </row>
    <row r="44" spans="1:8" ht="30" customHeight="1" x14ac:dyDescent="0.35">
      <c r="A44" s="87"/>
      <c r="B44" s="86" t="s">
        <v>317</v>
      </c>
      <c r="C44" s="75" t="s">
        <v>236</v>
      </c>
      <c r="D44" s="78"/>
      <c r="E44" s="75" t="s">
        <v>202</v>
      </c>
      <c r="F44" s="80" t="s">
        <v>327</v>
      </c>
      <c r="G44" s="75" t="s">
        <v>162</v>
      </c>
      <c r="H44" s="74" t="s">
        <v>239</v>
      </c>
    </row>
    <row r="45" spans="1:8" ht="30" customHeight="1" x14ac:dyDescent="0.35">
      <c r="A45" s="137"/>
      <c r="B45" s="79" t="s">
        <v>328</v>
      </c>
      <c r="C45" s="77" t="s">
        <v>329</v>
      </c>
      <c r="D45" s="129"/>
      <c r="E45" s="77" t="s">
        <v>202</v>
      </c>
      <c r="F45" s="133" t="s">
        <v>330</v>
      </c>
      <c r="G45" s="77" t="s">
        <v>331</v>
      </c>
      <c r="H45" s="81" t="s">
        <v>239</v>
      </c>
    </row>
    <row r="46" spans="1:8" ht="30" customHeight="1" x14ac:dyDescent="0.35">
      <c r="A46" s="87"/>
      <c r="B46" s="86" t="s">
        <v>332</v>
      </c>
      <c r="C46" s="75" t="s">
        <v>236</v>
      </c>
      <c r="D46" s="78"/>
      <c r="E46" s="75" t="s">
        <v>202</v>
      </c>
      <c r="F46" s="80" t="s">
        <v>333</v>
      </c>
      <c r="G46" s="75" t="s">
        <v>64</v>
      </c>
      <c r="H46" s="75" t="s">
        <v>239</v>
      </c>
    </row>
    <row r="47" spans="1:8" ht="30" customHeight="1" x14ac:dyDescent="0.35">
      <c r="A47" s="138"/>
      <c r="B47" s="79" t="s">
        <v>334</v>
      </c>
      <c r="C47" s="131" t="s">
        <v>236</v>
      </c>
      <c r="D47" s="129"/>
      <c r="E47" s="131" t="s">
        <v>202</v>
      </c>
      <c r="F47" s="85" t="s">
        <v>335</v>
      </c>
      <c r="G47" s="131" t="s">
        <v>64</v>
      </c>
      <c r="H47" s="131" t="s">
        <v>239</v>
      </c>
    </row>
    <row r="48" spans="1:8" ht="30" customHeight="1" x14ac:dyDescent="0.35">
      <c r="A48" s="87"/>
      <c r="B48" s="78" t="s">
        <v>336</v>
      </c>
      <c r="C48" s="82" t="s">
        <v>250</v>
      </c>
      <c r="D48" s="78"/>
      <c r="E48" s="75" t="s">
        <v>204</v>
      </c>
      <c r="F48" s="78" t="s">
        <v>337</v>
      </c>
      <c r="G48" s="74" t="s">
        <v>162</v>
      </c>
      <c r="H48" s="122" t="s">
        <v>239</v>
      </c>
    </row>
    <row r="49" spans="1:8" ht="36" customHeight="1" x14ac:dyDescent="0.35">
      <c r="A49" s="127"/>
      <c r="B49" s="128" t="s">
        <v>338</v>
      </c>
      <c r="C49" s="126" t="s">
        <v>339</v>
      </c>
      <c r="D49" s="124"/>
      <c r="E49" s="125" t="s">
        <v>204</v>
      </c>
      <c r="F49" s="124" t="s">
        <v>340</v>
      </c>
      <c r="G49" s="126" t="s">
        <v>341</v>
      </c>
      <c r="H49" s="123" t="s">
        <v>298</v>
      </c>
    </row>
    <row r="50" spans="1:8" ht="30" customHeight="1" x14ac:dyDescent="0.35">
      <c r="A50" s="117" t="s">
        <v>342</v>
      </c>
      <c r="B50" s="113" t="s">
        <v>343</v>
      </c>
      <c r="C50" s="119" t="s">
        <v>236</v>
      </c>
      <c r="D50" s="113" t="s">
        <v>237</v>
      </c>
      <c r="E50" s="110" t="s">
        <v>202</v>
      </c>
      <c r="F50" s="113" t="s">
        <v>238</v>
      </c>
      <c r="G50" s="114" t="s">
        <v>68</v>
      </c>
      <c r="H50" s="114" t="s">
        <v>239</v>
      </c>
    </row>
    <row r="51" spans="1:8" ht="30" customHeight="1" x14ac:dyDescent="0.35">
      <c r="A51" s="118"/>
      <c r="B51" s="106" t="s">
        <v>344</v>
      </c>
      <c r="C51" s="120" t="s">
        <v>253</v>
      </c>
      <c r="D51" s="106" t="s">
        <v>247</v>
      </c>
      <c r="E51" s="103" t="s">
        <v>202</v>
      </c>
      <c r="F51" s="106" t="s">
        <v>345</v>
      </c>
      <c r="G51" s="107" t="s">
        <v>68</v>
      </c>
      <c r="H51" s="110" t="s">
        <v>239</v>
      </c>
    </row>
    <row r="52" spans="1:8" ht="30" customHeight="1" x14ac:dyDescent="0.35">
      <c r="A52" s="117"/>
      <c r="B52" s="113" t="s">
        <v>346</v>
      </c>
      <c r="C52" s="119" t="s">
        <v>329</v>
      </c>
      <c r="D52" s="113"/>
      <c r="E52" s="110" t="s">
        <v>202</v>
      </c>
      <c r="F52" s="113" t="s">
        <v>347</v>
      </c>
      <c r="G52" s="114" t="s">
        <v>68</v>
      </c>
      <c r="H52" s="114" t="s">
        <v>239</v>
      </c>
    </row>
    <row r="53" spans="1:8" ht="30" customHeight="1" x14ac:dyDescent="0.35">
      <c r="A53" s="98"/>
      <c r="B53" s="115" t="s">
        <v>348</v>
      </c>
      <c r="C53" s="110" t="s">
        <v>270</v>
      </c>
      <c r="D53" s="111"/>
      <c r="E53" s="112" t="s">
        <v>202</v>
      </c>
      <c r="F53" s="113" t="s">
        <v>349</v>
      </c>
      <c r="G53" s="114" t="s">
        <v>68</v>
      </c>
      <c r="H53" s="110" t="s">
        <v>239</v>
      </c>
    </row>
    <row r="54" spans="1:8" ht="30" customHeight="1" x14ac:dyDescent="0.35">
      <c r="A54" s="108"/>
      <c r="B54" s="109" t="s">
        <v>255</v>
      </c>
      <c r="C54" s="110" t="s">
        <v>256</v>
      </c>
      <c r="D54" s="111"/>
      <c r="E54" s="112" t="s">
        <v>202</v>
      </c>
      <c r="F54" s="113" t="s">
        <v>350</v>
      </c>
      <c r="G54" s="114" t="s">
        <v>68</v>
      </c>
      <c r="H54" s="110" t="s">
        <v>239</v>
      </c>
    </row>
    <row r="55" spans="1:8" ht="30" customHeight="1" x14ac:dyDescent="0.35">
      <c r="A55" s="101"/>
      <c r="B55" s="102" t="s">
        <v>235</v>
      </c>
      <c r="C55" s="103" t="s">
        <v>236</v>
      </c>
      <c r="D55" s="104" t="s">
        <v>309</v>
      </c>
      <c r="E55" s="105" t="s">
        <v>202</v>
      </c>
      <c r="F55" s="106" t="s">
        <v>351</v>
      </c>
      <c r="G55" s="107" t="s">
        <v>68</v>
      </c>
      <c r="H55" s="103" t="s">
        <v>239</v>
      </c>
    </row>
    <row r="56" spans="1:8" ht="30" customHeight="1" x14ac:dyDescent="0.35">
      <c r="A56" s="91"/>
      <c r="B56" s="92" t="s">
        <v>352</v>
      </c>
      <c r="C56" s="93" t="s">
        <v>246</v>
      </c>
      <c r="D56" s="94"/>
      <c r="E56" s="95" t="s">
        <v>202</v>
      </c>
      <c r="F56" s="96" t="s">
        <v>353</v>
      </c>
      <c r="G56" s="97" t="s">
        <v>68</v>
      </c>
      <c r="H56" s="93" t="s">
        <v>282</v>
      </c>
    </row>
    <row r="57" spans="1:8" ht="30" customHeight="1" x14ac:dyDescent="0.35">
      <c r="A57" s="87" t="s">
        <v>354</v>
      </c>
      <c r="B57" s="86" t="s">
        <v>355</v>
      </c>
      <c r="C57" s="75" t="s">
        <v>236</v>
      </c>
      <c r="D57" s="80" t="s">
        <v>237</v>
      </c>
      <c r="E57" s="82" t="s">
        <v>202</v>
      </c>
      <c r="F57" s="78" t="s">
        <v>238</v>
      </c>
      <c r="G57" s="74" t="s">
        <v>68</v>
      </c>
      <c r="H57" s="75" t="s">
        <v>239</v>
      </c>
    </row>
    <row r="58" spans="1:8" ht="30" customHeight="1" x14ac:dyDescent="0.35">
      <c r="A58" s="88"/>
      <c r="B58" s="79" t="s">
        <v>343</v>
      </c>
      <c r="C58" s="77" t="s">
        <v>236</v>
      </c>
      <c r="D58" s="85" t="s">
        <v>356</v>
      </c>
      <c r="E58" s="83" t="s">
        <v>202</v>
      </c>
      <c r="F58" s="79" t="s">
        <v>357</v>
      </c>
      <c r="G58" s="75" t="s">
        <v>68</v>
      </c>
      <c r="H58" s="75" t="s">
        <v>239</v>
      </c>
    </row>
    <row r="59" spans="1:8" ht="30" customHeight="1" x14ac:dyDescent="0.35">
      <c r="A59" s="87"/>
      <c r="B59" s="86" t="s">
        <v>259</v>
      </c>
      <c r="C59" s="75" t="s">
        <v>236</v>
      </c>
      <c r="D59" s="86" t="s">
        <v>315</v>
      </c>
      <c r="E59" s="75" t="s">
        <v>202</v>
      </c>
      <c r="F59" s="80" t="s">
        <v>358</v>
      </c>
      <c r="G59" s="76" t="s">
        <v>68</v>
      </c>
      <c r="H59" s="77" t="s">
        <v>239</v>
      </c>
    </row>
    <row r="60" spans="1:8" ht="30" customHeight="1" x14ac:dyDescent="0.35">
      <c r="A60" s="88"/>
      <c r="B60" s="79" t="s">
        <v>317</v>
      </c>
      <c r="C60" s="77" t="s">
        <v>236</v>
      </c>
      <c r="D60" s="79"/>
      <c r="E60" s="77" t="s">
        <v>202</v>
      </c>
      <c r="F60" s="79" t="s">
        <v>359</v>
      </c>
      <c r="G60" s="75" t="s">
        <v>68</v>
      </c>
      <c r="H60" s="75" t="s">
        <v>239</v>
      </c>
    </row>
    <row r="61" spans="1:8" ht="30" customHeight="1" x14ac:dyDescent="0.35">
      <c r="A61" s="87"/>
      <c r="B61" s="86" t="s">
        <v>360</v>
      </c>
      <c r="C61" s="75" t="s">
        <v>270</v>
      </c>
      <c r="D61" s="86"/>
      <c r="E61" s="75" t="s">
        <v>202</v>
      </c>
      <c r="F61" s="80" t="s">
        <v>361</v>
      </c>
      <c r="G61" s="76" t="s">
        <v>68</v>
      </c>
      <c r="H61" s="77" t="s">
        <v>239</v>
      </c>
    </row>
    <row r="62" spans="1:8" ht="30" customHeight="1" x14ac:dyDescent="0.35">
      <c r="A62" s="87"/>
      <c r="B62" s="86" t="s">
        <v>362</v>
      </c>
      <c r="C62" s="75" t="s">
        <v>270</v>
      </c>
      <c r="D62" s="86"/>
      <c r="E62" s="75" t="s">
        <v>202</v>
      </c>
      <c r="F62" s="80" t="s">
        <v>363</v>
      </c>
      <c r="G62" s="74" t="s">
        <v>68</v>
      </c>
      <c r="H62" s="75" t="s">
        <v>239</v>
      </c>
    </row>
    <row r="64" spans="1:8" x14ac:dyDescent="0.35">
      <c r="A64" s="2" t="s">
        <v>364</v>
      </c>
      <c r="B64" s="2"/>
      <c r="C64" s="2"/>
      <c r="D64" s="2"/>
      <c r="E64" s="2"/>
      <c r="F64" s="2"/>
      <c r="G64" s="2"/>
      <c r="H64" s="2"/>
    </row>
    <row r="65" spans="1:8" ht="15" customHeight="1" x14ac:dyDescent="0.35">
      <c r="A65" s="65" t="s">
        <v>365</v>
      </c>
      <c r="B65" s="25" t="s">
        <v>366</v>
      </c>
      <c r="C65" s="68" t="s">
        <v>367</v>
      </c>
      <c r="D65" s="25" t="s">
        <v>368</v>
      </c>
      <c r="E65" s="69" t="s">
        <v>369</v>
      </c>
      <c r="F65" s="59"/>
      <c r="G65" s="59"/>
      <c r="H65" s="59"/>
    </row>
    <row r="66" spans="1:8" ht="30" customHeight="1" x14ac:dyDescent="0.35">
      <c r="A66" s="66" t="s">
        <v>234</v>
      </c>
      <c r="B66" s="23" t="s">
        <v>295</v>
      </c>
      <c r="C66" s="18" t="s">
        <v>370</v>
      </c>
      <c r="D66" s="23" t="s">
        <v>371</v>
      </c>
      <c r="E66" s="73" t="s">
        <v>372</v>
      </c>
      <c r="F66" s="48"/>
      <c r="G66" s="48"/>
      <c r="H66" s="49"/>
    </row>
    <row r="67" spans="1:8" ht="30" customHeight="1" x14ac:dyDescent="0.35">
      <c r="A67" s="8" t="s">
        <v>234</v>
      </c>
      <c r="B67" s="8" t="s">
        <v>342</v>
      </c>
      <c r="C67" s="7" t="s">
        <v>370</v>
      </c>
      <c r="D67" s="8" t="s">
        <v>373</v>
      </c>
      <c r="E67" s="70" t="s">
        <v>374</v>
      </c>
      <c r="F67" s="53"/>
      <c r="G67" s="53"/>
      <c r="H67" s="54"/>
    </row>
    <row r="68" spans="1:8" ht="30" customHeight="1" x14ac:dyDescent="0.35">
      <c r="A68" s="8" t="s">
        <v>234</v>
      </c>
      <c r="B68" s="8" t="s">
        <v>321</v>
      </c>
      <c r="C68" s="7" t="s">
        <v>370</v>
      </c>
      <c r="D68" s="8" t="s">
        <v>375</v>
      </c>
      <c r="E68" s="70" t="s">
        <v>376</v>
      </c>
      <c r="F68" s="53"/>
      <c r="G68" s="53"/>
      <c r="H68" s="54"/>
    </row>
    <row r="69" spans="1:8" ht="30" customHeight="1" x14ac:dyDescent="0.35">
      <c r="A69" s="24" t="s">
        <v>283</v>
      </c>
      <c r="B69" s="24" t="s">
        <v>258</v>
      </c>
      <c r="C69" s="20" t="s">
        <v>370</v>
      </c>
      <c r="D69" s="24" t="s">
        <v>377</v>
      </c>
      <c r="E69" s="71" t="s">
        <v>378</v>
      </c>
      <c r="F69" s="60"/>
      <c r="G69" s="60"/>
      <c r="H69" s="61"/>
    </row>
    <row r="70" spans="1:8" ht="30" customHeight="1" x14ac:dyDescent="0.35">
      <c r="A70" s="36" t="s">
        <v>283</v>
      </c>
      <c r="B70" s="36" t="s">
        <v>295</v>
      </c>
      <c r="C70" s="30" t="s">
        <v>370</v>
      </c>
      <c r="D70" s="36" t="s">
        <v>379</v>
      </c>
      <c r="E70" s="72" t="s">
        <v>380</v>
      </c>
      <c r="F70" s="62"/>
      <c r="G70" s="62"/>
      <c r="H70" s="63"/>
    </row>
    <row r="71" spans="1:8" ht="30" customHeight="1" x14ac:dyDescent="0.35">
      <c r="A71" s="8" t="s">
        <v>295</v>
      </c>
      <c r="B71" s="8" t="s">
        <v>311</v>
      </c>
      <c r="C71" s="7" t="s">
        <v>370</v>
      </c>
      <c r="D71" s="8" t="s">
        <v>381</v>
      </c>
      <c r="E71" s="70" t="s">
        <v>382</v>
      </c>
      <c r="F71" s="53"/>
      <c r="G71" s="53"/>
      <c r="H71" s="54"/>
    </row>
    <row r="72" spans="1:8" ht="30" customHeight="1" x14ac:dyDescent="0.35">
      <c r="A72" s="36" t="s">
        <v>258</v>
      </c>
      <c r="B72" s="36" t="s">
        <v>311</v>
      </c>
      <c r="C72" s="30" t="s">
        <v>370</v>
      </c>
      <c r="D72" s="36" t="s">
        <v>383</v>
      </c>
      <c r="E72" s="72" t="s">
        <v>384</v>
      </c>
      <c r="F72" s="62"/>
      <c r="G72" s="62"/>
      <c r="H72" s="63"/>
    </row>
    <row r="73" spans="1:8" ht="30" customHeight="1" x14ac:dyDescent="0.35">
      <c r="A73" s="8" t="s">
        <v>258</v>
      </c>
      <c r="B73" s="8" t="s">
        <v>321</v>
      </c>
      <c r="C73" s="7" t="s">
        <v>370</v>
      </c>
      <c r="D73" s="8" t="s">
        <v>385</v>
      </c>
      <c r="E73" s="70" t="s">
        <v>386</v>
      </c>
      <c r="F73" s="53"/>
      <c r="G73" s="53"/>
      <c r="H73" s="54"/>
    </row>
    <row r="74" spans="1:8" ht="30" customHeight="1" x14ac:dyDescent="0.35">
      <c r="A74" s="36" t="s">
        <v>342</v>
      </c>
      <c r="B74" s="36" t="s">
        <v>354</v>
      </c>
      <c r="C74" s="30" t="s">
        <v>370</v>
      </c>
      <c r="D74" s="24" t="s">
        <v>387</v>
      </c>
      <c r="E74" s="72" t="s">
        <v>388</v>
      </c>
      <c r="F74" s="62"/>
      <c r="G74" s="62"/>
      <c r="H74" s="63"/>
    </row>
    <row r="75" spans="1:8" ht="30" customHeight="1" x14ac:dyDescent="0.35">
      <c r="A75" s="8" t="s">
        <v>258</v>
      </c>
      <c r="B75" s="8" t="s">
        <v>354</v>
      </c>
      <c r="C75" s="7" t="s">
        <v>370</v>
      </c>
      <c r="D75" s="67" t="s">
        <v>389</v>
      </c>
      <c r="E75" s="52" t="s">
        <v>390</v>
      </c>
      <c r="F75" s="53"/>
      <c r="G75" s="53"/>
      <c r="H75" s="54"/>
    </row>
  </sheetData>
  <mergeCells count="14">
    <mergeCell ref="E72:H72"/>
    <mergeCell ref="E73:H73"/>
    <mergeCell ref="E74:H74"/>
    <mergeCell ref="E75:H75"/>
    <mergeCell ref="E67:H67"/>
    <mergeCell ref="E68:H68"/>
    <mergeCell ref="E69:H69"/>
    <mergeCell ref="E70:H70"/>
    <mergeCell ref="E71:H71"/>
    <mergeCell ref="A1:H1"/>
    <mergeCell ref="A2:H2"/>
    <mergeCell ref="A64:H64"/>
    <mergeCell ref="E65:H65"/>
    <mergeCell ref="E66:H6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 Backlog</vt:lpstr>
      <vt:lpstr>Req. Funcionales</vt:lpstr>
      <vt:lpstr>Req. No Funcionales</vt:lpstr>
      <vt:lpstr>Roles y Permisos</vt:lpstr>
      <vt:lpstr>Campos de las 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dayana de la cruz</cp:lastModifiedBy>
  <cp:revision>0</cp:revision>
  <dcterms:created xsi:type="dcterms:W3CDTF">2026-09-30T21:16:09Z</dcterms:created>
  <dcterms:modified xsi:type="dcterms:W3CDTF">2026-10-12T02:50:57Z</dcterms:modified>
  <dc:language>en-US</dc:language>
</cp:coreProperties>
</file>